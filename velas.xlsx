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\Desktop\velas-dashboard\"/>
    </mc:Choice>
  </mc:AlternateContent>
  <xr:revisionPtr revIDLastSave="0" documentId="13_ncr:1_{3FAA59F1-D9FF-427E-80A2-55D045502611}" xr6:coauthVersionLast="47" xr6:coauthVersionMax="47" xr10:uidLastSave="{00000000-0000-0000-0000-000000000000}"/>
  <bookViews>
    <workbookView xWindow="-120" yWindow="-120" windowWidth="38640" windowHeight="21120" activeTab="6" xr2:uid="{00000000-000D-0000-FFFF-FFFF00000000}"/>
  </bookViews>
  <sheets>
    <sheet name="Dashboard" sheetId="1" r:id="rId1"/>
    <sheet name="Inventário" sheetId="2" r:id="rId2"/>
    <sheet name="Calculadora" sheetId="3" r:id="rId3"/>
    <sheet name="Receitas" sheetId="4" r:id="rId4"/>
    <sheet name="Stock" sheetId="5" r:id="rId5"/>
    <sheet name="Vendas" sheetId="6" r:id="rId6"/>
    <sheet name="Gastos" sheetId="7" r:id="rId7"/>
    <sheet name="Listas" sheetId="8" state="hidden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7" l="1"/>
  <c r="J8" i="7"/>
  <c r="J7" i="7"/>
  <c r="J6" i="7"/>
  <c r="J5" i="7"/>
  <c r="J4" i="7"/>
  <c r="J3" i="7"/>
  <c r="J10" i="7" s="1"/>
  <c r="G7" i="6"/>
  <c r="G6" i="6"/>
  <c r="G5" i="6"/>
  <c r="G4" i="6"/>
  <c r="G3" i="6"/>
  <c r="E6" i="5"/>
  <c r="J5" i="5"/>
  <c r="I5" i="5"/>
  <c r="H5" i="5"/>
  <c r="J4" i="5"/>
  <c r="I4" i="5"/>
  <c r="H4" i="5"/>
  <c r="J3" i="5"/>
  <c r="I3" i="5"/>
  <c r="I6" i="5" s="1"/>
  <c r="H3" i="5"/>
  <c r="H6" i="5" s="1"/>
  <c r="B24" i="3"/>
  <c r="B36" i="3" s="1"/>
  <c r="B23" i="3"/>
  <c r="B35" i="3" s="1"/>
  <c r="B22" i="3"/>
  <c r="B34" i="3" s="1"/>
  <c r="B21" i="3"/>
  <c r="B33" i="3" s="1"/>
  <c r="B18" i="3"/>
  <c r="B20" i="3" s="1"/>
  <c r="B32" i="3" s="1"/>
  <c r="B16" i="3"/>
  <c r="B15" i="3"/>
  <c r="B17" i="3" s="1"/>
  <c r="B19" i="3" s="1"/>
  <c r="J7" i="2"/>
  <c r="G7" i="2"/>
  <c r="J6" i="2"/>
  <c r="G6" i="2"/>
  <c r="J5" i="2"/>
  <c r="G5" i="2"/>
  <c r="J4" i="2"/>
  <c r="G4" i="2"/>
  <c r="J3" i="2"/>
  <c r="G3" i="2"/>
  <c r="G8" i="2" s="1"/>
  <c r="C23" i="1"/>
  <c r="C22" i="1"/>
  <c r="C21" i="1"/>
  <c r="C20" i="1"/>
  <c r="C19" i="1"/>
  <c r="C18" i="1"/>
  <c r="G17" i="1"/>
  <c r="H17" i="1" s="1"/>
  <c r="C17" i="1"/>
  <c r="G16" i="1"/>
  <c r="H16" i="1" s="1"/>
  <c r="C16" i="1"/>
  <c r="C24" i="1" s="1"/>
  <c r="G15" i="1"/>
  <c r="H15" i="1" s="1"/>
  <c r="C15" i="1"/>
  <c r="H14" i="1"/>
  <c r="G14" i="1"/>
  <c r="C14" i="1"/>
  <c r="G13" i="1"/>
  <c r="H13" i="1" s="1"/>
  <c r="C13" i="1"/>
  <c r="G12" i="1"/>
  <c r="G18" i="1" s="1"/>
  <c r="C12" i="1"/>
  <c r="K5" i="1"/>
  <c r="I5" i="1"/>
  <c r="G5" i="1"/>
  <c r="B25" i="3" l="1"/>
  <c r="B26" i="3" s="1"/>
  <c r="B27" i="3" s="1"/>
  <c r="B31" i="3"/>
  <c r="K4" i="7"/>
  <c r="K5" i="7"/>
  <c r="K6" i="7"/>
  <c r="K7" i="7"/>
  <c r="B17" i="1"/>
  <c r="D17" i="1" s="1"/>
  <c r="K8" i="7"/>
  <c r="B14" i="1"/>
  <c r="D14" i="1" s="1"/>
  <c r="C5" i="1"/>
  <c r="B22" i="1"/>
  <c r="D22" i="1" s="1"/>
  <c r="E5" i="1"/>
  <c r="K3" i="7"/>
  <c r="A5" i="1"/>
  <c r="B18" i="1"/>
  <c r="D18" i="1" s="1"/>
  <c r="B23" i="1"/>
  <c r="D23" i="1" s="1"/>
  <c r="G8" i="6"/>
  <c r="H12" i="1"/>
  <c r="B21" i="1"/>
  <c r="D21" i="1" s="1"/>
  <c r="B15" i="1"/>
  <c r="D15" i="1" s="1"/>
  <c r="B12" i="1"/>
  <c r="D12" i="1" l="1"/>
  <c r="B13" i="1"/>
  <c r="D13" i="1" s="1"/>
  <c r="B20" i="1"/>
  <c r="D20" i="1" s="1"/>
  <c r="B16" i="1"/>
  <c r="D16" i="1" s="1"/>
  <c r="B19" i="1"/>
  <c r="D19" i="1" s="1"/>
  <c r="D24" i="1" l="1"/>
  <c r="B24" i="1"/>
</calcChain>
</file>

<file path=xl/sharedStrings.xml><?xml version="1.0" encoding="utf-8"?>
<sst xmlns="http://schemas.openxmlformats.org/spreadsheetml/2006/main" count="337" uniqueCount="237">
  <si>
    <t>🕯️  VELAS — Dashboard de Gestão</t>
  </si>
  <si>
    <t>Atualizado em 16/05/2026</t>
  </si>
  <si>
    <t>📈  Vendas Totais</t>
  </si>
  <si>
    <t>📅  Este Mês</t>
  </si>
  <si>
    <t>💰  Lucro Estimado</t>
  </si>
  <si>
    <t>⏳  Pendentes</t>
  </si>
  <si>
    <t>📦  Valor Inventário</t>
  </si>
  <si>
    <t>🕯️  Stock Velas</t>
  </si>
  <si>
    <t>📅  Vendas Mensais 2025</t>
  </si>
  <si>
    <t>💸  Despesas por Categoria</t>
  </si>
  <si>
    <t>Mês</t>
  </si>
  <si>
    <t>Vendas (€)</t>
  </si>
  <si>
    <t>Despesas (€)</t>
  </si>
  <si>
    <t>Lucro (€)</t>
  </si>
  <si>
    <t>Categoria</t>
  </si>
  <si>
    <t>Total (€)</t>
  </si>
  <si>
    <t>% do Total</t>
  </si>
  <si>
    <t>Jan 2025</t>
  </si>
  <si>
    <t>Matérias-Primas</t>
  </si>
  <si>
    <t>Fev 2025</t>
  </si>
  <si>
    <t>Embalagem</t>
  </si>
  <si>
    <t>Mar 2025</t>
  </si>
  <si>
    <t>Marketing</t>
  </si>
  <si>
    <t>Abr 2025</t>
  </si>
  <si>
    <t>Transporte</t>
  </si>
  <si>
    <t>Mai 2025</t>
  </si>
  <si>
    <t>Equipamento</t>
  </si>
  <si>
    <t>Jun 2025</t>
  </si>
  <si>
    <t>Outro</t>
  </si>
  <si>
    <t>Jul 2025</t>
  </si>
  <si>
    <t>TOTAL</t>
  </si>
  <si>
    <t>100%</t>
  </si>
  <si>
    <t>Ago 2025</t>
  </si>
  <si>
    <t>Set 2025</t>
  </si>
  <si>
    <t>Out 2025</t>
  </si>
  <si>
    <t>Nov 2025</t>
  </si>
  <si>
    <t>Dez 2025</t>
  </si>
  <si>
    <t>📦  Inventário de Matérias-Primas</t>
  </si>
  <si>
    <t>ID</t>
  </si>
  <si>
    <t>Nome</t>
  </si>
  <si>
    <t>Tipo</t>
  </si>
  <si>
    <t>Unidade</t>
  </si>
  <si>
    <t>Quantidade</t>
  </si>
  <si>
    <t>Preço/Unid.</t>
  </si>
  <si>
    <t>Valor Total</t>
  </si>
  <si>
    <t>Stock Mín.</t>
  </si>
  <si>
    <t>Fornecedor</t>
  </si>
  <si>
    <t>Estado</t>
  </si>
  <si>
    <t>Notas</t>
  </si>
  <si>
    <t>INV001</t>
  </si>
  <si>
    <t>Cera de Soja</t>
  </si>
  <si>
    <t>Cera</t>
  </si>
  <si>
    <t>kg</t>
  </si>
  <si>
    <t>AromaShop</t>
  </si>
  <si>
    <t>Soja natural 464</t>
  </si>
  <si>
    <t>INV002</t>
  </si>
  <si>
    <t>Essência Lavanda</t>
  </si>
  <si>
    <t>Essência</t>
  </si>
  <si>
    <t>INV003</t>
  </si>
  <si>
    <t>Copos de Vidro 20cl</t>
  </si>
  <si>
    <t>Recipiente</t>
  </si>
  <si>
    <t>unidade(s)</t>
  </si>
  <si>
    <t>VidroCasa</t>
  </si>
  <si>
    <t>INV004</t>
  </si>
  <si>
    <t>Pavios Algodão CD14</t>
  </si>
  <si>
    <t>Pavio</t>
  </si>
  <si>
    <t>CandleShop</t>
  </si>
  <si>
    <t>CD14 para copos 7-8cm</t>
  </si>
  <si>
    <t>INV005</t>
  </si>
  <si>
    <t>Cimento Branco</t>
  </si>
  <si>
    <t>Cimento</t>
  </si>
  <si>
    <t>BricoMarkt</t>
  </si>
  <si>
    <t>Fino, para moldes</t>
  </si>
  <si>
    <t>🧮  Calculadora de Fabricação de Velas</t>
  </si>
  <si>
    <t xml:space="preserve">  ⚙️  Parâmetros de Produção (alterar células a azul)</t>
  </si>
  <si>
    <t>Nº de Velas</t>
  </si>
  <si>
    <t>Peso por Vela (g)</t>
  </si>
  <si>
    <t>g</t>
  </si>
  <si>
    <t>% de Essência</t>
  </si>
  <si>
    <t>%</t>
  </si>
  <si>
    <t>Preço da Cera (€/kg)</t>
  </si>
  <si>
    <t>€/kg</t>
  </si>
  <si>
    <t>Preço da Essência (€/kg)</t>
  </si>
  <si>
    <t>Custo Recipiente (€/un)</t>
  </si>
  <si>
    <t>€/un</t>
  </si>
  <si>
    <t>Custo Pavio (€/un)</t>
  </si>
  <si>
    <t>Custo Etiqueta (€/un)</t>
  </si>
  <si>
    <t>Outros Custos Fixos (€)</t>
  </si>
  <si>
    <t>€</t>
  </si>
  <si>
    <t>Margem de Lucro</t>
  </si>
  <si>
    <t xml:space="preserve">  📋  Resultados Calculados</t>
  </si>
  <si>
    <t>Peso Total do Lote (g)</t>
  </si>
  <si>
    <t>Essência Necessária (g)</t>
  </si>
  <si>
    <t>Cera Necessária (kg)</t>
  </si>
  <si>
    <t>Essência Necessária (kg)</t>
  </si>
  <si>
    <t>— Custo Cera (€)</t>
  </si>
  <si>
    <t>— Custo Essência (€)</t>
  </si>
  <si>
    <t>— Custo Recipientes (€)</t>
  </si>
  <si>
    <t>— Custo Pavios (€)</t>
  </si>
  <si>
    <t>— Custo Etiquetas (€)</t>
  </si>
  <si>
    <t>— Outros Custos Fixos (€)</t>
  </si>
  <si>
    <t>💶  CUSTO TOTAL DO LOTE (€)</t>
  </si>
  <si>
    <t>💰  CUSTO POR VELA (€)</t>
  </si>
  <si>
    <t>🏷️  PVP SUGERIDO (€)</t>
  </si>
  <si>
    <t xml:space="preserve">  📊  Distribuição de Custos do Lote</t>
  </si>
  <si>
    <t>Componente</t>
  </si>
  <si>
    <t>Custo (€)</t>
  </si>
  <si>
    <t>Etiqueta</t>
  </si>
  <si>
    <t>Outros</t>
  </si>
  <si>
    <t xml:space="preserve">  📁  Lotes Guardados</t>
  </si>
  <si>
    <t>Nome do Lote</t>
  </si>
  <si>
    <t>Data</t>
  </si>
  <si>
    <t>Nº Velas</t>
  </si>
  <si>
    <t>Cera (kg)</t>
  </si>
  <si>
    <t>Essência (g)</t>
  </si>
  <si>
    <t>Custo Total</t>
  </si>
  <si>
    <t>Custo/Vela</t>
  </si>
  <si>
    <t>PVP Sugerido</t>
  </si>
  <si>
    <t>🧪  Receitas de Velas — Fórmulas e Combinações</t>
  </si>
  <si>
    <t>Tipo Cera</t>
  </si>
  <si>
    <t>Peso (g)</t>
  </si>
  <si>
    <t>% Essência</t>
  </si>
  <si>
    <t>Temp. (°C)</t>
  </si>
  <si>
    <t>Tipo Pavio</t>
  </si>
  <si>
    <t>Cura (h)</t>
  </si>
  <si>
    <t>Fragrâncias</t>
  </si>
  <si>
    <t>Corante</t>
  </si>
  <si>
    <t>Avaliação ⭐</t>
  </si>
  <si>
    <t>REC001</t>
  </si>
  <si>
    <t>Lavanda &amp; Baunilha</t>
  </si>
  <si>
    <t>Soja</t>
  </si>
  <si>
    <t>CD14</t>
  </si>
  <si>
    <t>Copo Vidro 20cl</t>
  </si>
  <si>
    <t>Lavanda 6% + Baunilha 2%</t>
  </si>
  <si>
    <t>Roxo — 2 gotas/100g</t>
  </si>
  <si>
    <t>⭐⭐⭐⭐⭐</t>
  </si>
  <si>
    <t>Burn test OK. Cheiro forte e duradouro.</t>
  </si>
  <si>
    <t>2025-01-20</t>
  </si>
  <si>
    <t>REC002</t>
  </si>
  <si>
    <t>Cimento Nórdico</t>
  </si>
  <si>
    <t>Soja + Coco 80/20</t>
  </si>
  <si>
    <t>ECO4</t>
  </si>
  <si>
    <t>Molde Cimento</t>
  </si>
  <si>
    <t>Eucalipto 5% + Alecrim 2%</t>
  </si>
  <si>
    <t>Sem corante</t>
  </si>
  <si>
    <t>⭐⭐⭐⭐</t>
  </si>
  <si>
    <t>Tempo de cura mais longo. Acabamento rústico.</t>
  </si>
  <si>
    <t>2025-02-10</t>
  </si>
  <si>
    <t>🕯️  Stock de Velas Acabadas</t>
  </si>
  <si>
    <t>Tamanho</t>
  </si>
  <si>
    <t>Preço Custo</t>
  </si>
  <si>
    <t>PVP</t>
  </si>
  <si>
    <t>Valor Stock</t>
  </si>
  <si>
    <t>Margem %</t>
  </si>
  <si>
    <t>STK001</t>
  </si>
  <si>
    <t>Vela Lavanda 200g</t>
  </si>
  <si>
    <t>Lavanda</t>
  </si>
  <si>
    <t>200g</t>
  </si>
  <si>
    <t>STK002</t>
  </si>
  <si>
    <t>Vela Baunilha 200g</t>
  </si>
  <si>
    <t>Baunilha</t>
  </si>
  <si>
    <t>STK003</t>
  </si>
  <si>
    <t>Vela Cimento Nórdico</t>
  </si>
  <si>
    <t>Eucalipto+Alecrim</t>
  </si>
  <si>
    <t>180g</t>
  </si>
  <si>
    <t>🛒  Vendas &amp; Encomendas</t>
  </si>
  <si>
    <t>Cliente</t>
  </si>
  <si>
    <t>Produto</t>
  </si>
  <si>
    <t>Preço/Un.</t>
  </si>
  <si>
    <t>Total</t>
  </si>
  <si>
    <t>Pagamento</t>
  </si>
  <si>
    <t>VND001</t>
  </si>
  <si>
    <t>2025-01-15</t>
  </si>
  <si>
    <t>Maria Santos</t>
  </si>
  <si>
    <t>MB Way</t>
  </si>
  <si>
    <t>Entregue</t>
  </si>
  <si>
    <t>VND002</t>
  </si>
  <si>
    <t>2025-02-03</t>
  </si>
  <si>
    <t>João Ferreira</t>
  </si>
  <si>
    <t>Transferência</t>
  </si>
  <si>
    <t>VND003</t>
  </si>
  <si>
    <t>2025-03-10</t>
  </si>
  <si>
    <t>Ana Costa</t>
  </si>
  <si>
    <t>Pack 3 Velas Sortidas</t>
  </si>
  <si>
    <t>Enviada</t>
  </si>
  <si>
    <t>Envio CTT</t>
  </si>
  <si>
    <t>VND004</t>
  </si>
  <si>
    <t>2025-04-22</t>
  </si>
  <si>
    <t>Carlos Lopes</t>
  </si>
  <si>
    <t>Pendente</t>
  </si>
  <si>
    <t>Aguarda confirmação</t>
  </si>
  <si>
    <t>VND005</t>
  </si>
  <si>
    <t>2025-05-01</t>
  </si>
  <si>
    <t>Rita Oliveira</t>
  </si>
  <si>
    <t>Numerário</t>
  </si>
  <si>
    <t>A Processar</t>
  </si>
  <si>
    <t>💸  Gastos &amp; Despesas</t>
  </si>
  <si>
    <t>Descrição</t>
  </si>
  <si>
    <t>Valor (€)</t>
  </si>
  <si>
    <t>GST001</t>
  </si>
  <si>
    <t>2025-01-10</t>
  </si>
  <si>
    <t>Cera de Soja 20kg</t>
  </si>
  <si>
    <t>GST002</t>
  </si>
  <si>
    <t>Essências variadas 2kg</t>
  </si>
  <si>
    <t>GST003</t>
  </si>
  <si>
    <t>2025-02-05</t>
  </si>
  <si>
    <t>Copos de Vidro x200</t>
  </si>
  <si>
    <t>GST004</t>
  </si>
  <si>
    <t>2025-02-20</t>
  </si>
  <si>
    <t>Fotografia de produtos</t>
  </si>
  <si>
    <t>Studio Foto</t>
  </si>
  <si>
    <t>Sessão produto</t>
  </si>
  <si>
    <t>GST005</t>
  </si>
  <si>
    <t>2025-03-15</t>
  </si>
  <si>
    <t>Envios CTT Março</t>
  </si>
  <si>
    <t>CTT</t>
  </si>
  <si>
    <t>GST006</t>
  </si>
  <si>
    <t>2025-04-01</t>
  </si>
  <si>
    <t>Pavios x1000</t>
  </si>
  <si>
    <t>TiposInv</t>
  </si>
  <si>
    <t>Unidades</t>
  </si>
  <si>
    <t>EstadosOrdem</t>
  </si>
  <si>
    <t>Pagamentos</t>
  </si>
  <si>
    <t>Categorias</t>
  </si>
  <si>
    <t>Multibanco</t>
  </si>
  <si>
    <t>L</t>
  </si>
  <si>
    <t>Autocolante</t>
  </si>
  <si>
    <t>ml</t>
  </si>
  <si>
    <t>Cancelada</t>
  </si>
  <si>
    <t>PayPal</t>
  </si>
  <si>
    <t>caixa(s)</t>
  </si>
  <si>
    <t>rolo(s)</t>
  </si>
  <si>
    <t>Gesso</t>
  </si>
  <si>
    <t>saco(s)</t>
  </si>
  <si>
    <t>Areia</t>
  </si>
  <si>
    <t>Molde</t>
  </si>
  <si>
    <t>Aditivo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</si>
</sst>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"/>
    <numFmt numFmtId="165" formatCode="\€#,##0.00"/>
    <numFmt numFmtId="166" formatCode="0.0%"/>
    <numFmt numFmtId="167" formatCode="#,##0.0"/>
    <numFmt numFmtId="168" formatCode="#,##0\ &quot;un&quot;"/>
  </numFmts>
  <fonts count="25" x14ac:knownFonts="1">
    <font>
      <sz val="11"/>
      <color theme="1"/>
      <name val="Calibri"/>
      <family val="2"/>
      <scheme val="minor"/>
    </font>
    <font>
      <b/>
      <sz val="10"/>
      <color rgb="FF2C1A0E"/>
      <name val="Arial"/>
    </font>
    <font>
      <b/>
      <sz val="13"/>
      <color rgb="FFFFFFFF"/>
      <name val="Arial"/>
    </font>
    <font>
      <b/>
      <sz val="9"/>
      <color rgb="FFFFFFFF"/>
      <name val="Arial"/>
    </font>
    <font>
      <sz val="9"/>
      <color rgb="FF666666"/>
      <name val="Arial"/>
    </font>
    <font>
      <sz val="10"/>
      <color rgb="FF2C1A0E"/>
      <name val="Arial"/>
    </font>
    <font>
      <sz val="10"/>
      <color rgb="FF0000FF"/>
      <name val="Arial"/>
    </font>
    <font>
      <sz val="10"/>
      <color rgb="FF000000"/>
      <name val="Arial"/>
    </font>
    <font>
      <i/>
      <sz val="10"/>
      <color rgb="FF666666"/>
      <name val="Arial"/>
    </font>
    <font>
      <b/>
      <sz val="10"/>
      <color rgb="FF000000"/>
      <name val="Arial"/>
    </font>
    <font>
      <b/>
      <sz val="10"/>
      <color rgb="FFFFFFFF"/>
      <name val="Arial"/>
    </font>
    <font>
      <b/>
      <sz val="11"/>
      <color rgb="FF0000FF"/>
      <name val="Arial"/>
    </font>
    <font>
      <i/>
      <sz val="10"/>
      <color rgb="FF888888"/>
      <name val="Arial"/>
    </font>
    <font>
      <b/>
      <sz val="14"/>
      <color rgb="FFFFFFFF"/>
      <name val="Arial"/>
    </font>
    <font>
      <b/>
      <sz val="11"/>
      <color rgb="FFFFFFFF"/>
      <name val="Arial"/>
    </font>
    <font>
      <b/>
      <sz val="12"/>
      <color rgb="FFFFFFFF"/>
      <name val="Arial"/>
    </font>
    <font>
      <sz val="10"/>
      <color rgb="FF555555"/>
      <name val="Arial"/>
    </font>
    <font>
      <sz val="10"/>
      <color rgb="FF666666"/>
      <name val="Arial"/>
    </font>
    <font>
      <sz val="10"/>
      <color rgb="FF008000"/>
      <name val="Arial"/>
    </font>
    <font>
      <b/>
      <sz val="18"/>
      <color rgb="FFFFFFFF"/>
      <name val="Arial"/>
    </font>
    <font>
      <i/>
      <sz val="9"/>
      <color rgb="FF888888"/>
      <name val="Arial"/>
    </font>
    <font>
      <b/>
      <sz val="18"/>
      <color rgb="FF9E5E1E"/>
      <name val="Arial"/>
    </font>
    <font>
      <b/>
      <sz val="18"/>
      <color rgb="FFC8792A"/>
      <name val="Arial"/>
    </font>
    <font>
      <b/>
      <sz val="18"/>
      <color rgb="FF4A9E6B"/>
      <name val="Arial"/>
    </font>
    <font>
      <b/>
      <sz val="18"/>
      <color rgb="FF92400E"/>
      <name val="Arial"/>
    </font>
  </fonts>
  <fills count="13">
    <fill>
      <patternFill patternType="none"/>
    </fill>
    <fill>
      <patternFill patternType="gray125"/>
    </fill>
    <fill>
      <patternFill patternType="solid">
        <fgColor rgb="FFC8792A"/>
      </patternFill>
    </fill>
    <fill>
      <patternFill patternType="solid">
        <fgColor rgb="FF9E5E1E"/>
      </patternFill>
    </fill>
    <fill>
      <patternFill patternType="solid">
        <fgColor rgb="FFFFFFFF"/>
      </patternFill>
    </fill>
    <fill>
      <patternFill patternType="solid">
        <fgColor rgb="FFF5EDE0"/>
      </patternFill>
    </fill>
    <fill>
      <patternFill patternType="solid">
        <fgColor rgb="FFF0C080"/>
      </patternFill>
    </fill>
    <fill>
      <patternFill patternType="solid">
        <fgColor rgb="FFFFFACD"/>
      </patternFill>
    </fill>
    <fill>
      <patternFill patternType="solid">
        <fgColor rgb="FFFAF6F0"/>
      </patternFill>
    </fill>
    <fill>
      <patternFill patternType="solid">
        <fgColor rgb="FF4A9E6B"/>
      </patternFill>
    </fill>
    <fill>
      <patternFill patternType="solid">
        <fgColor rgb="FFD1FAE5"/>
      </patternFill>
    </fill>
    <fill>
      <patternFill patternType="solid">
        <fgColor rgb="FFE8A030"/>
      </patternFill>
    </fill>
    <fill>
      <patternFill patternType="solid">
        <fgColor rgb="FFFEF3C7"/>
      </patternFill>
    </fill>
  </fills>
  <borders count="5">
    <border>
      <left/>
      <right/>
      <top/>
      <bottom/>
      <diagonal/>
    </border>
    <border>
      <left style="thin">
        <color rgb="FFE8D5B8"/>
      </left>
      <right style="thin">
        <color rgb="FFE8D5B8"/>
      </right>
      <top style="thin">
        <color rgb="FFE8D5B8"/>
      </top>
      <bottom style="thin">
        <color rgb="FFE8D5B8"/>
      </bottom>
      <diagonal/>
    </border>
    <border>
      <left/>
      <right/>
      <top style="thin">
        <color rgb="FFE8D5B8"/>
      </top>
      <bottom style="thin">
        <color rgb="FFE8D5B8"/>
      </bottom>
      <diagonal/>
    </border>
    <border>
      <left/>
      <right style="thin">
        <color rgb="FFE8D5B8"/>
      </right>
      <top style="thin">
        <color rgb="FFE8D5B8"/>
      </top>
      <bottom style="thin">
        <color rgb="FFE8D5B8"/>
      </bottom>
      <diagonal/>
    </border>
    <border>
      <left style="thin">
        <color rgb="FFC8792A"/>
      </left>
      <right style="thin">
        <color rgb="FFC8792A"/>
      </right>
      <top style="thin">
        <color rgb="FFC8792A"/>
      </top>
      <bottom style="thin">
        <color rgb="FFC8792A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/>
    </xf>
    <xf numFmtId="165" fontId="18" fillId="5" borderId="1" xfId="0" applyNumberFormat="1" applyFont="1" applyFill="1" applyBorder="1" applyAlignment="1">
      <alignment horizontal="right" vertical="center"/>
    </xf>
    <xf numFmtId="165" fontId="7" fillId="5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18" fillId="4" borderId="1" xfId="0" applyNumberFormat="1" applyFont="1" applyFill="1" applyBorder="1" applyAlignment="1">
      <alignment horizontal="right" vertical="center"/>
    </xf>
    <xf numFmtId="166" fontId="18" fillId="4" borderId="1" xfId="0" applyNumberFormat="1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lef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6" fontId="18" fillId="5" borderId="1" xfId="0" applyNumberFormat="1" applyFont="1" applyFill="1" applyBorder="1" applyAlignment="1">
      <alignment horizontal="right" vertical="center"/>
    </xf>
    <xf numFmtId="0" fontId="1" fillId="6" borderId="1" xfId="0" applyFont="1" applyFill="1" applyBorder="1" applyAlignment="1">
      <alignment horizontal="left" vertical="center"/>
    </xf>
    <xf numFmtId="165" fontId="9" fillId="6" borderId="1" xfId="0" applyNumberFormat="1" applyFont="1" applyFill="1" applyBorder="1" applyAlignment="1">
      <alignment horizontal="right" vertical="center"/>
    </xf>
    <xf numFmtId="166" fontId="1" fillId="6" borderId="1" xfId="0" applyNumberFormat="1" applyFont="1" applyFill="1" applyBorder="1" applyAlignment="1">
      <alignment horizontal="right" vertical="center"/>
    </xf>
    <xf numFmtId="0" fontId="1" fillId="6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right" vertical="center"/>
    </xf>
    <xf numFmtId="165" fontId="6" fillId="4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11" fillId="7" borderId="4" xfId="0" applyFont="1" applyFill="1" applyBorder="1" applyAlignment="1">
      <alignment horizontal="right" vertical="center"/>
    </xf>
    <xf numFmtId="0" fontId="12" fillId="8" borderId="0" xfId="0" applyFont="1" applyFill="1" applyAlignment="1">
      <alignment horizontal="left" vertical="center"/>
    </xf>
    <xf numFmtId="166" fontId="11" fillId="7" borderId="4" xfId="0" applyNumberFormat="1" applyFont="1" applyFill="1" applyBorder="1" applyAlignment="1">
      <alignment horizontal="right" vertical="center"/>
    </xf>
    <xf numFmtId="165" fontId="11" fillId="7" borderId="4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right" vertical="center"/>
    </xf>
    <xf numFmtId="167" fontId="7" fillId="8" borderId="1" xfId="0" applyNumberFormat="1" applyFont="1" applyFill="1" applyBorder="1" applyAlignment="1">
      <alignment horizontal="righ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0" fontId="5" fillId="2" borderId="0" xfId="0" applyFont="1" applyFill="1" applyAlignment="1">
      <alignment horizontal="left" vertical="center"/>
    </xf>
    <xf numFmtId="165" fontId="15" fillId="3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left" vertical="center"/>
    </xf>
    <xf numFmtId="165" fontId="15" fillId="9" borderId="1" xfId="0" applyNumberFormat="1" applyFont="1" applyFill="1" applyBorder="1" applyAlignment="1">
      <alignment horizontal="right" vertical="center"/>
    </xf>
    <xf numFmtId="0" fontId="5" fillId="9" borderId="0" xfId="0" applyFont="1" applyFill="1" applyAlignment="1">
      <alignment horizontal="left" vertical="center"/>
    </xf>
    <xf numFmtId="0" fontId="10" fillId="3" borderId="1" xfId="0" applyFont="1" applyFill="1" applyBorder="1" applyAlignment="1">
      <alignment horizontal="center" vertical="center"/>
    </xf>
    <xf numFmtId="3" fontId="6" fillId="4" borderId="1" xfId="0" applyNumberFormat="1" applyFont="1" applyFill="1" applyBorder="1" applyAlignment="1">
      <alignment horizontal="right" vertical="center"/>
    </xf>
    <xf numFmtId="166" fontId="6" fillId="4" borderId="1" xfId="0" applyNumberFormat="1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16" fillId="4" borderId="1" xfId="0" applyFont="1" applyFill="1" applyBorder="1" applyAlignment="1">
      <alignment horizontal="left" vertical="center" wrapText="1"/>
    </xf>
    <xf numFmtId="14" fontId="17" fillId="4" borderId="1" xfId="0" applyNumberFormat="1" applyFont="1" applyFill="1" applyBorder="1" applyAlignment="1">
      <alignment horizontal="center" vertical="center"/>
    </xf>
    <xf numFmtId="3" fontId="6" fillId="5" borderId="1" xfId="0" applyNumberFormat="1" applyFont="1" applyFill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16" fillId="5" borderId="1" xfId="0" applyFont="1" applyFill="1" applyBorder="1" applyAlignment="1">
      <alignment horizontal="left" vertical="center" wrapText="1"/>
    </xf>
    <xf numFmtId="14" fontId="17" fillId="5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right" vertical="center"/>
    </xf>
    <xf numFmtId="166" fontId="7" fillId="4" borderId="1" xfId="0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right" vertical="center"/>
    </xf>
    <xf numFmtId="166" fontId="7" fillId="5" borderId="1" xfId="0" applyNumberFormat="1" applyFont="1" applyFill="1" applyBorder="1" applyAlignment="1">
      <alignment horizontal="right" vertical="center"/>
    </xf>
    <xf numFmtId="0" fontId="9" fillId="6" borderId="1" xfId="0" applyFont="1" applyFill="1" applyBorder="1" applyAlignment="1">
      <alignment horizontal="right" vertical="center"/>
    </xf>
    <xf numFmtId="166" fontId="9" fillId="6" borderId="1" xfId="0" applyNumberFormat="1" applyFont="1" applyFill="1" applyBorder="1" applyAlignment="1">
      <alignment horizontal="right" vertical="center"/>
    </xf>
    <xf numFmtId="14" fontId="5" fillId="4" borderId="1" xfId="0" applyNumberFormat="1" applyFont="1" applyFill="1" applyBorder="1" applyAlignment="1">
      <alignment horizontal="center" vertical="center"/>
    </xf>
    <xf numFmtId="14" fontId="5" fillId="5" borderId="1" xfId="0" applyNumberFormat="1" applyFont="1" applyFill="1" applyBorder="1" applyAlignment="1">
      <alignment horizontal="center" vertical="center"/>
    </xf>
    <xf numFmtId="0" fontId="1" fillId="0" borderId="0" xfId="0" applyFont="1"/>
    <xf numFmtId="0" fontId="0" fillId="2" borderId="1" xfId="0" applyFill="1" applyBorder="1"/>
    <xf numFmtId="0" fontId="0" fillId="0" borderId="0" xfId="0"/>
    <xf numFmtId="0" fontId="0" fillId="3" borderId="1" xfId="0" applyFill="1" applyBorder="1"/>
    <xf numFmtId="165" fontId="22" fillId="5" borderId="1" xfId="0" applyNumberFormat="1" applyFont="1" applyFill="1" applyBorder="1" applyAlignment="1">
      <alignment horizontal="center" vertical="center"/>
    </xf>
    <xf numFmtId="165" fontId="23" fillId="10" borderId="1" xfId="0" applyNumberFormat="1" applyFont="1" applyFill="1" applyBorder="1" applyAlignment="1">
      <alignment horizontal="center" vertical="center"/>
    </xf>
    <xf numFmtId="168" fontId="22" fillId="5" borderId="1" xfId="0" applyNumberFormat="1" applyFont="1" applyFill="1" applyBorder="1" applyAlignment="1">
      <alignment horizontal="center" vertical="center"/>
    </xf>
    <xf numFmtId="0" fontId="14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11" borderId="1" xfId="0" applyFill="1" applyBorder="1"/>
    <xf numFmtId="0" fontId="19" fillId="2" borderId="0" xfId="0" applyFont="1" applyFill="1" applyAlignment="1">
      <alignment horizontal="center" vertical="center"/>
    </xf>
    <xf numFmtId="0" fontId="0" fillId="9" borderId="1" xfId="0" applyFill="1" applyBorder="1"/>
    <xf numFmtId="165" fontId="21" fillId="8" borderId="1" xfId="0" applyNumberFormat="1" applyFont="1" applyFill="1" applyBorder="1" applyAlignment="1">
      <alignment horizontal="center" vertical="center"/>
    </xf>
    <xf numFmtId="3" fontId="24" fillId="1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right" vertical="center"/>
    </xf>
    <xf numFmtId="0" fontId="1" fillId="6" borderId="1" xfId="0" applyFont="1" applyFill="1" applyBorder="1" applyAlignment="1">
      <alignment horizontal="right" vertical="center"/>
    </xf>
    <xf numFmtId="0" fontId="0" fillId="0" borderId="2" xfId="0" applyBorder="1"/>
    <xf numFmtId="0" fontId="0" fillId="0" borderId="3" xfId="0" applyBorder="1"/>
    <xf numFmtId="0" fontId="2" fillId="2" borderId="0" xfId="0" applyFont="1" applyFill="1" applyAlignment="1">
      <alignment horizontal="left" vertical="center"/>
    </xf>
    <xf numFmtId="0" fontId="14" fillId="9" borderId="0" xfId="0" applyFont="1" applyFill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14">
    <dxf>
      <font>
        <b/>
        <sz val="10"/>
        <color rgb="FF5B21B6"/>
        <name val="Arial"/>
      </font>
      <fill>
        <patternFill patternType="solid">
          <fgColor rgb="FFF5F3FF"/>
        </patternFill>
      </fill>
    </dxf>
    <dxf>
      <font>
        <b/>
        <sz val="10"/>
        <color rgb="FF4A9E6B"/>
        <name val="Arial"/>
      </font>
      <fill>
        <patternFill patternType="solid">
          <fgColor rgb="FFD1FAE5"/>
        </patternFill>
      </fill>
    </dxf>
    <dxf>
      <font>
        <b/>
        <sz val="10"/>
        <color rgb="FF92400E"/>
        <name val="Arial"/>
      </font>
      <fill>
        <patternFill patternType="solid">
          <fgColor rgb="FFFEF3C7"/>
        </patternFill>
      </fill>
    </dxf>
    <dxf>
      <font>
        <b/>
        <sz val="10"/>
        <color rgb="FFE05252"/>
        <name val="Arial"/>
      </font>
      <fill>
        <patternFill patternType="solid">
          <fgColor rgb="FFFEE2E2"/>
        </patternFill>
      </fill>
    </dxf>
    <dxf>
      <font>
        <b/>
        <sz val="10"/>
        <color rgb="FF374151"/>
        <name val="Arial"/>
      </font>
      <fill>
        <patternFill patternType="solid">
          <fgColor rgb="FFF3F4F6"/>
        </patternFill>
      </fill>
    </dxf>
    <dxf>
      <font>
        <b/>
        <sz val="10"/>
        <color rgb="FF1E40AF"/>
        <name val="Arial"/>
      </font>
      <fill>
        <patternFill patternType="solid">
          <fgColor rgb="FFDBEAFE"/>
        </patternFill>
      </fill>
    </dxf>
    <dxf>
      <font>
        <sz val="10"/>
        <color rgb="FFE05252"/>
        <name val="Arial"/>
      </font>
      <fill>
        <patternFill patternType="solid">
          <fgColor rgb="FFFEE2E2"/>
        </patternFill>
      </fill>
    </dxf>
    <dxf>
      <font>
        <sz val="10"/>
        <color rgb="FF4A9E6B"/>
        <name val="Arial"/>
      </font>
      <fill>
        <patternFill patternType="solid">
          <fgColor rgb="FFD1FAE5"/>
        </patternFill>
      </fill>
    </dxf>
    <dxf>
      <font>
        <sz val="10"/>
        <color rgb="FF1E40AF"/>
        <name val="Arial"/>
      </font>
      <fill>
        <patternFill patternType="solid">
          <fgColor rgb="FFDBEAFE"/>
        </patternFill>
      </fill>
    </dxf>
    <dxf>
      <font>
        <sz val="10"/>
        <color rgb="FF92400E"/>
        <name val="Arial"/>
      </font>
      <fill>
        <patternFill patternType="solid">
          <fgColor rgb="FFFEF3C7"/>
        </patternFill>
      </fill>
    </dxf>
    <dxf>
      <font>
        <b/>
        <sz val="10"/>
        <color rgb="FF4A9E6B"/>
        <name val="Arial"/>
      </font>
      <fill>
        <patternFill patternType="solid">
          <fgColor rgb="FFD1FAE5"/>
        </patternFill>
      </fill>
    </dxf>
    <dxf>
      <font>
        <b/>
        <sz val="10"/>
        <color rgb="FF92400E"/>
        <name val="Arial"/>
      </font>
      <fill>
        <patternFill patternType="solid">
          <fgColor rgb="FFFEF3C7"/>
        </patternFill>
      </fill>
    </dxf>
    <dxf>
      <font>
        <b/>
        <sz val="10"/>
        <color rgb="FFE05252"/>
        <name val="Arial"/>
      </font>
      <fill>
        <patternFill patternType="solid">
          <fgColor rgb="FFFEE2E2"/>
        </patternFill>
      </fill>
    </dxf>
    <dxf>
      <font>
        <b/>
        <sz val="10"/>
        <color rgb="FFE05252"/>
        <name val="Arial"/>
      </font>
      <fill>
        <patternFill patternType="solid">
          <fgColor rgb="FFFEE2E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GB"/>
              <a:t>Vendas vs Despesas Mensais 2025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Dashboard!$B$11</c:f>
              <c:strCache>
                <c:ptCount val="1"/>
                <c:pt idx="0">
                  <c:v>Vendas (€)</c:v>
                </c:pt>
              </c:strCache>
            </c:strRef>
          </c:tx>
          <c:spPr>
            <a:solidFill>
              <a:srgbClr val="C8792A"/>
            </a:solidFill>
            <a:ln>
              <a:prstDash val="solid"/>
            </a:ln>
          </c:spPr>
          <c:invertIfNegative val="1"/>
          <c:cat>
            <c:strRef>
              <c:f>Dashboard!$A$12:$A$23</c:f>
              <c:strCache>
                <c:ptCount val="12"/>
                <c:pt idx="0">
                  <c:v>Jan 2025</c:v>
                </c:pt>
                <c:pt idx="1">
                  <c:v>Fev 2025</c:v>
                </c:pt>
                <c:pt idx="2">
                  <c:v>Mar 2025</c:v>
                </c:pt>
                <c:pt idx="3">
                  <c:v>Abr 2025</c:v>
                </c:pt>
                <c:pt idx="4">
                  <c:v>Mai 2025</c:v>
                </c:pt>
                <c:pt idx="5">
                  <c:v>Jun 2025</c:v>
                </c:pt>
                <c:pt idx="6">
                  <c:v>Jul 2025</c:v>
                </c:pt>
                <c:pt idx="7">
                  <c:v>Ago 2025</c:v>
                </c:pt>
                <c:pt idx="8">
                  <c:v>Set 2025</c:v>
                </c:pt>
                <c:pt idx="9">
                  <c:v>Out 2025</c:v>
                </c:pt>
                <c:pt idx="10">
                  <c:v>Nov 2025</c:v>
                </c:pt>
                <c:pt idx="11">
                  <c:v>Dez 2025</c:v>
                </c:pt>
              </c:strCache>
            </c:strRef>
          </c:cat>
          <c:val>
            <c:numRef>
              <c:f>Dashboard!$B$12:$B$23</c:f>
              <c:numCache>
                <c:formatCode>\€#,##0.00</c:formatCode>
                <c:ptCount val="12"/>
                <c:pt idx="0">
                  <c:v>29.700000000000003</c:v>
                </c:pt>
                <c:pt idx="1">
                  <c:v>19.8</c:v>
                </c:pt>
                <c:pt idx="2">
                  <c:v>24.9</c:v>
                </c:pt>
                <c:pt idx="3">
                  <c:v>29.8</c:v>
                </c:pt>
                <c:pt idx="4">
                  <c:v>49.5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85B-4882-8FA3-95D2FD8C3B67}"/>
            </c:ext>
          </c:extLst>
        </c:ser>
        <c:ser>
          <c:idx val="1"/>
          <c:order val="1"/>
          <c:tx>
            <c:strRef>
              <c:f>Dashboard!$C$11</c:f>
              <c:strCache>
                <c:ptCount val="1"/>
                <c:pt idx="0">
                  <c:v>Despesas (€)</c:v>
                </c:pt>
              </c:strCache>
            </c:strRef>
          </c:tx>
          <c:spPr>
            <a:solidFill>
              <a:srgbClr val="E05252"/>
            </a:solidFill>
            <a:ln>
              <a:prstDash val="solid"/>
            </a:ln>
          </c:spPr>
          <c:invertIfNegative val="1"/>
          <c:cat>
            <c:strRef>
              <c:f>Dashboard!$A$12:$A$23</c:f>
              <c:strCache>
                <c:ptCount val="12"/>
                <c:pt idx="0">
                  <c:v>Jan 2025</c:v>
                </c:pt>
                <c:pt idx="1">
                  <c:v>Fev 2025</c:v>
                </c:pt>
                <c:pt idx="2">
                  <c:v>Mar 2025</c:v>
                </c:pt>
                <c:pt idx="3">
                  <c:v>Abr 2025</c:v>
                </c:pt>
                <c:pt idx="4">
                  <c:v>Mai 2025</c:v>
                </c:pt>
                <c:pt idx="5">
                  <c:v>Jun 2025</c:v>
                </c:pt>
                <c:pt idx="6">
                  <c:v>Jul 2025</c:v>
                </c:pt>
                <c:pt idx="7">
                  <c:v>Ago 2025</c:v>
                </c:pt>
                <c:pt idx="8">
                  <c:v>Set 2025</c:v>
                </c:pt>
                <c:pt idx="9">
                  <c:v>Out 2025</c:v>
                </c:pt>
                <c:pt idx="10">
                  <c:v>Nov 2025</c:v>
                </c:pt>
                <c:pt idx="11">
                  <c:v>Dez 2025</c:v>
                </c:pt>
              </c:strCache>
            </c:strRef>
          </c:cat>
          <c:val>
            <c:numRef>
              <c:f>Dashboard!$C$12:$C$23</c:f>
              <c:numCache>
                <c:formatCode>\€#,##0.00</c:formatCode>
                <c:ptCount val="12"/>
                <c:pt idx="0">
                  <c:v>146</c:v>
                </c:pt>
                <c:pt idx="1">
                  <c:v>320</c:v>
                </c:pt>
                <c:pt idx="2">
                  <c:v>45.5</c:v>
                </c:pt>
                <c:pt idx="3">
                  <c:v>85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85B-4882-8FA3-95D2FD8C3B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Mês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€</a:t>
                </a:r>
              </a:p>
            </c:rich>
          </c:tx>
          <c:overlay val="1"/>
        </c:title>
        <c:numFmt formatCode="\€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GB"/>
              <a:t>Despesas por Categoria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5422839506172839"/>
          <c:y val="5.0396825396825398E-2"/>
          <c:w val="0.73466049382716048"/>
          <c:h val="0.94456349206349211"/>
        </c:manualLayout>
      </c:layout>
      <c:doughnutChart>
        <c:varyColors val="1"/>
        <c:ser>
          <c:idx val="0"/>
          <c:order val="0"/>
          <c:tx>
            <c:strRef>
              <c:f>Dashboard!$G$11</c:f>
              <c:strCache>
                <c:ptCount val="1"/>
                <c:pt idx="0">
                  <c:v>Total (€)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Dashboard!$F$12:$F$17</c:f>
              <c:strCache>
                <c:ptCount val="6"/>
                <c:pt idx="0">
                  <c:v>Matérias-Primas</c:v>
                </c:pt>
                <c:pt idx="1">
                  <c:v>Embalagem</c:v>
                </c:pt>
                <c:pt idx="2">
                  <c:v>Marketing</c:v>
                </c:pt>
                <c:pt idx="3">
                  <c:v>Transporte</c:v>
                </c:pt>
                <c:pt idx="4">
                  <c:v>Equipamento</c:v>
                </c:pt>
                <c:pt idx="5">
                  <c:v>Outro</c:v>
                </c:pt>
              </c:strCache>
            </c:strRef>
          </c:cat>
          <c:val>
            <c:numRef>
              <c:f>Dashboard!$G$12:$G$17</c:f>
              <c:numCache>
                <c:formatCode>\€#,##0.00</c:formatCode>
                <c:ptCount val="6"/>
                <c:pt idx="0">
                  <c:v>231</c:v>
                </c:pt>
                <c:pt idx="1">
                  <c:v>240</c:v>
                </c:pt>
                <c:pt idx="2">
                  <c:v>80</c:v>
                </c:pt>
                <c:pt idx="3">
                  <c:v>45.5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96-46A7-8748-B8184D0D68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10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GB"/>
              <a:t>Distribuição de Custos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Calculadora!$A$31:$A$36</c:f>
              <c:strCache>
                <c:ptCount val="6"/>
                <c:pt idx="0">
                  <c:v>Cera</c:v>
                </c:pt>
                <c:pt idx="1">
                  <c:v>Essência</c:v>
                </c:pt>
                <c:pt idx="2">
                  <c:v>Recipiente</c:v>
                </c:pt>
                <c:pt idx="3">
                  <c:v>Pavio</c:v>
                </c:pt>
                <c:pt idx="4">
                  <c:v>Etiqueta</c:v>
                </c:pt>
                <c:pt idx="5">
                  <c:v>Outros</c:v>
                </c:pt>
              </c:strCache>
            </c:strRef>
          </c:cat>
          <c:val>
            <c:numRef>
              <c:f>Calculadora!$B$31:$B$36</c:f>
              <c:numCache>
                <c:formatCode>\€#,##0.00</c:formatCode>
                <c:ptCount val="6"/>
                <c:pt idx="0">
                  <c:v>82.8</c:v>
                </c:pt>
                <c:pt idx="1">
                  <c:v>40</c:v>
                </c:pt>
                <c:pt idx="2">
                  <c:v>120</c:v>
                </c:pt>
                <c:pt idx="3">
                  <c:v>10</c:v>
                </c:pt>
                <c:pt idx="4">
                  <c:v>8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A0-482C-BFCC-485B69879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10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25</xdr:row>
      <xdr:rowOff>0</xdr:rowOff>
    </xdr:from>
    <xdr:ext cx="720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12</xdr:col>
      <xdr:colOff>485775</xdr:colOff>
      <xdr:row>0</xdr:row>
      <xdr:rowOff>171450</xdr:rowOff>
    </xdr:from>
    <xdr:ext cx="6480000" cy="50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666750</xdr:colOff>
      <xdr:row>0</xdr:row>
      <xdr:rowOff>133350</xdr:rowOff>
    </xdr:from>
    <xdr:ext cx="50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8792A"/>
  </sheetPr>
  <dimension ref="A1:L24"/>
  <sheetViews>
    <sheetView workbookViewId="0">
      <selection activeCell="AB5" sqref="AB5"/>
    </sheetView>
  </sheetViews>
  <sheetFormatPr defaultRowHeight="15" x14ac:dyDescent="0.25"/>
  <cols>
    <col min="1" max="4" width="14" customWidth="1"/>
    <col min="5" max="5" width="2" customWidth="1"/>
    <col min="6" max="6" width="18" customWidth="1"/>
    <col min="7" max="7" width="14" customWidth="1"/>
    <col min="8" max="8" width="11" customWidth="1"/>
    <col min="9" max="12" width="2" customWidth="1"/>
  </cols>
  <sheetData>
    <row r="1" spans="1:12" ht="45.95" customHeight="1" x14ac:dyDescent="0.25">
      <c r="A1" s="80" t="s">
        <v>0</v>
      </c>
      <c r="B1" s="71"/>
      <c r="C1" s="71"/>
      <c r="D1" s="71"/>
      <c r="E1" s="71"/>
      <c r="F1" s="71"/>
      <c r="G1" s="71"/>
      <c r="H1" s="71"/>
      <c r="I1" s="71"/>
      <c r="J1" s="71"/>
    </row>
    <row r="2" spans="1:12" ht="18" customHeight="1" x14ac:dyDescent="0.25">
      <c r="A2" s="86" t="s">
        <v>1</v>
      </c>
      <c r="B2" s="71"/>
      <c r="C2" s="71"/>
      <c r="D2" s="71"/>
      <c r="E2" s="71"/>
      <c r="F2" s="71"/>
      <c r="G2" s="71"/>
      <c r="H2" s="71"/>
      <c r="I2" s="71"/>
      <c r="J2" s="71"/>
    </row>
    <row r="3" spans="1:12" ht="9.9499999999999993" customHeight="1" x14ac:dyDescent="0.25"/>
    <row r="4" spans="1:12" ht="21.95" customHeight="1" x14ac:dyDescent="0.25">
      <c r="A4" s="84" t="s">
        <v>2</v>
      </c>
      <c r="B4" s="71"/>
      <c r="C4" s="77" t="s">
        <v>3</v>
      </c>
      <c r="D4" s="71"/>
      <c r="E4" s="78" t="s">
        <v>4</v>
      </c>
      <c r="F4" s="71"/>
      <c r="G4" s="85" t="s">
        <v>5</v>
      </c>
      <c r="H4" s="71"/>
      <c r="I4" s="84" t="s">
        <v>6</v>
      </c>
      <c r="J4" s="71"/>
      <c r="K4" s="77" t="s">
        <v>7</v>
      </c>
      <c r="L4" s="71"/>
    </row>
    <row r="5" spans="1:12" ht="32.1" customHeight="1" x14ac:dyDescent="0.25">
      <c r="A5" s="82">
        <f>SUMIFS(Vendas!G:G,Vendas!I:I,"&lt;&gt;Cancelada")</f>
        <v>307.39999999999998</v>
      </c>
      <c r="B5" s="71"/>
      <c r="C5" s="73">
        <f ca="1">SUMPRODUCT((MONTH(Vendas!B3:B1000)=MONTH(TODAY()))*(YEAR(Vendas!B3:B1000)=YEAR(TODAY()))*(Vendas!I3:I1000&lt;&gt;"Cancelada")*Vendas!G3:G1000)</f>
        <v>0</v>
      </c>
      <c r="D5" s="71"/>
      <c r="E5" s="74">
        <f>SUMIFS(Vendas!G:G,Vendas!I:I,"&lt;&gt;Cancelada")-SUM(Gastos!E:E)</f>
        <v>-885.6</v>
      </c>
      <c r="F5" s="71"/>
      <c r="G5" s="83">
        <f>COUNTIF(Vendas!I:I,"Pendente")</f>
        <v>1</v>
      </c>
      <c r="H5" s="71"/>
      <c r="I5" s="82">
        <f>SUMPRODUCT(Inventário!E3:E1000,Inventário!F3:F1000)</f>
        <v>405</v>
      </c>
      <c r="J5" s="71"/>
      <c r="K5" s="75">
        <f>SUM(Stock!E:E)</f>
        <v>122</v>
      </c>
      <c r="L5" s="71"/>
    </row>
    <row r="6" spans="1:12" ht="18" customHeight="1" x14ac:dyDescent="0.25">
      <c r="A6" s="72"/>
      <c r="B6" s="71"/>
      <c r="C6" s="70"/>
      <c r="D6" s="71"/>
      <c r="E6" s="81"/>
      <c r="F6" s="71"/>
      <c r="G6" s="79"/>
      <c r="H6" s="71"/>
      <c r="I6" s="72"/>
      <c r="J6" s="71"/>
      <c r="K6" s="70"/>
      <c r="L6" s="71"/>
    </row>
    <row r="7" spans="1:12" ht="9.9499999999999993" customHeight="1" x14ac:dyDescent="0.25"/>
    <row r="9" spans="1:12" ht="9.9499999999999993" customHeight="1" x14ac:dyDescent="0.25"/>
    <row r="10" spans="1:12" x14ac:dyDescent="0.25">
      <c r="A10" s="76" t="s">
        <v>8</v>
      </c>
      <c r="B10" s="71"/>
      <c r="C10" s="71"/>
      <c r="D10" s="71"/>
      <c r="F10" s="76" t="s">
        <v>9</v>
      </c>
      <c r="G10" s="71"/>
      <c r="H10" s="71"/>
    </row>
    <row r="11" spans="1:12" x14ac:dyDescent="0.25">
      <c r="A11" s="2" t="s">
        <v>10</v>
      </c>
      <c r="B11" s="2" t="s">
        <v>11</v>
      </c>
      <c r="C11" s="2" t="s">
        <v>12</v>
      </c>
      <c r="D11" s="2" t="s">
        <v>13</v>
      </c>
      <c r="F11" s="2" t="s">
        <v>14</v>
      </c>
      <c r="G11" s="2" t="s">
        <v>15</v>
      </c>
      <c r="H11" s="2" t="s">
        <v>16</v>
      </c>
    </row>
    <row r="12" spans="1:12" ht="18" customHeight="1" x14ac:dyDescent="0.25">
      <c r="A12" s="3" t="s">
        <v>17</v>
      </c>
      <c r="B12" s="4">
        <f>SUMPRODUCT((MONTH(Vendas!$B$3:$B$1000)=1)*(YEAR(Vendas!$B$3:$B$1000)=2025)*(Vendas!$I$3:$I$1000&lt;&gt;"Cancelada")*Vendas!$G$3:$G$1000)</f>
        <v>29.700000000000003</v>
      </c>
      <c r="C12" s="4">
        <f>SUMPRODUCT((MONTH(Gastos!$B$3:$B$1000)=1)*(YEAR(Gastos!$B$3:$B$1000)=2025)*Gastos!$E$3:$E$1000)</f>
        <v>146</v>
      </c>
      <c r="D12" s="5">
        <f t="shared" ref="D12:D23" si="0">B12-C12</f>
        <v>-116.3</v>
      </c>
      <c r="F12" s="6" t="s">
        <v>18</v>
      </c>
      <c r="G12" s="7">
        <f>SUMIF(Gastos!$D$3:$D$1000,F12,Gastos!$E$3:$E$1000)</f>
        <v>231</v>
      </c>
      <c r="H12" s="8">
        <f>IFERROR(G12/SUM(Gastos!$E$3:$E$1000),0)</f>
        <v>0.19362950544844929</v>
      </c>
    </row>
    <row r="13" spans="1:12" ht="18" customHeight="1" x14ac:dyDescent="0.25">
      <c r="A13" s="9" t="s">
        <v>19</v>
      </c>
      <c r="B13" s="7">
        <f>SUMPRODUCT((MONTH(Vendas!$B$3:$B$1000)=2)*(YEAR(Vendas!$B$3:$B$1000)=2025)*(Vendas!$I$3:$I$1000&lt;&gt;"Cancelada")*Vendas!$G$3:$G$1000)</f>
        <v>19.8</v>
      </c>
      <c r="C13" s="7">
        <f>SUMPRODUCT((MONTH(Gastos!$B$3:$B$1000)=2)*(YEAR(Gastos!$B$3:$B$1000)=2025)*Gastos!$E$3:$E$1000)</f>
        <v>320</v>
      </c>
      <c r="D13" s="10">
        <f t="shared" si="0"/>
        <v>-300.2</v>
      </c>
      <c r="F13" s="11" t="s">
        <v>20</v>
      </c>
      <c r="G13" s="4">
        <f>SUMIF(Gastos!$D$3:$D$1000,F13,Gastos!$E$3:$E$1000)</f>
        <v>240</v>
      </c>
      <c r="H13" s="12">
        <f>IFERROR(G13/SUM(Gastos!$E$3:$E$1000),0)</f>
        <v>0.20117351215423301</v>
      </c>
    </row>
    <row r="14" spans="1:12" ht="18" customHeight="1" x14ac:dyDescent="0.25">
      <c r="A14" s="3" t="s">
        <v>21</v>
      </c>
      <c r="B14" s="4">
        <f>SUMPRODUCT((MONTH(Vendas!$B$3:$B$1000)=3)*(YEAR(Vendas!$B$3:$B$1000)=2025)*(Vendas!$I$3:$I$1000&lt;&gt;"Cancelada")*Vendas!$G$3:$G$1000)</f>
        <v>24.9</v>
      </c>
      <c r="C14" s="4">
        <f>SUMPRODUCT((MONTH(Gastos!$B$3:$B$1000)=3)*(YEAR(Gastos!$B$3:$B$1000)=2025)*Gastos!$E$3:$E$1000)</f>
        <v>45.5</v>
      </c>
      <c r="D14" s="5">
        <f t="shared" si="0"/>
        <v>-20.6</v>
      </c>
      <c r="F14" s="6" t="s">
        <v>22</v>
      </c>
      <c r="G14" s="7">
        <f>SUMIF(Gastos!$D$3:$D$1000,F14,Gastos!$E$3:$E$1000)</f>
        <v>80</v>
      </c>
      <c r="H14" s="8">
        <f>IFERROR(G14/SUM(Gastos!$E$3:$E$1000),0)</f>
        <v>6.7057837384744343E-2</v>
      </c>
    </row>
    <row r="15" spans="1:12" ht="18" customHeight="1" x14ac:dyDescent="0.25">
      <c r="A15" s="9" t="s">
        <v>23</v>
      </c>
      <c r="B15" s="7">
        <f>SUMPRODUCT((MONTH(Vendas!$B$3:$B$1000)=4)*(YEAR(Vendas!$B$3:$B$1000)=2025)*(Vendas!$I$3:$I$1000&lt;&gt;"Cancelada")*Vendas!$G$3:$G$1000)</f>
        <v>29.8</v>
      </c>
      <c r="C15" s="7">
        <f>SUMPRODUCT((MONTH(Gastos!$B$3:$B$1000)=4)*(YEAR(Gastos!$B$3:$B$1000)=2025)*Gastos!$E$3:$E$1000)</f>
        <v>85</v>
      </c>
      <c r="D15" s="10">
        <f t="shared" si="0"/>
        <v>-55.2</v>
      </c>
      <c r="F15" s="11" t="s">
        <v>24</v>
      </c>
      <c r="G15" s="4">
        <f>SUMIF(Gastos!$D$3:$D$1000,F15,Gastos!$E$3:$E$1000)</f>
        <v>45.5</v>
      </c>
      <c r="H15" s="12">
        <f>IFERROR(G15/SUM(Gastos!$E$3:$E$1000),0)</f>
        <v>3.8139145012573344E-2</v>
      </c>
    </row>
    <row r="16" spans="1:12" ht="18" customHeight="1" x14ac:dyDescent="0.25">
      <c r="A16" s="3" t="s">
        <v>25</v>
      </c>
      <c r="B16" s="4">
        <f>SUMPRODUCT((MONTH(Vendas!$B$3:$B$1000)=5)*(YEAR(Vendas!$B$3:$B$1000)=2025)*(Vendas!$I$3:$I$1000&lt;&gt;"Cancelada")*Vendas!$G$3:$G$1000)</f>
        <v>49.5</v>
      </c>
      <c r="C16" s="4">
        <f>SUMPRODUCT((MONTH(Gastos!$B$3:$B$1000)=5)*(YEAR(Gastos!$B$3:$B$1000)=2025)*Gastos!$E$3:$E$1000)</f>
        <v>0</v>
      </c>
      <c r="D16" s="5">
        <f t="shared" si="0"/>
        <v>49.5</v>
      </c>
      <c r="F16" s="6" t="s">
        <v>26</v>
      </c>
      <c r="G16" s="7">
        <f>SUMIF(Gastos!$D$3:$D$1000,F16,Gastos!$E$3:$E$1000)</f>
        <v>0</v>
      </c>
      <c r="H16" s="8">
        <f>IFERROR(G16/SUM(Gastos!$E$3:$E$1000),0)</f>
        <v>0</v>
      </c>
    </row>
    <row r="17" spans="1:8" ht="18" customHeight="1" x14ac:dyDescent="0.25">
      <c r="A17" s="9" t="s">
        <v>27</v>
      </c>
      <c r="B17" s="7">
        <f>SUMPRODUCT((MONTH(Vendas!$B$3:$B$1000)=6)*(YEAR(Vendas!$B$3:$B$1000)=2025)*(Vendas!$I$3:$I$1000&lt;&gt;"Cancelada")*Vendas!$G$3:$G$1000)</f>
        <v>0</v>
      </c>
      <c r="C17" s="7">
        <f>SUMPRODUCT((MONTH(Gastos!$B$3:$B$1000)=6)*(YEAR(Gastos!$B$3:$B$1000)=2025)*Gastos!$E$3:$E$1000)</f>
        <v>0</v>
      </c>
      <c r="D17" s="10">
        <f t="shared" si="0"/>
        <v>0</v>
      </c>
      <c r="F17" s="11" t="s">
        <v>28</v>
      </c>
      <c r="G17" s="4">
        <f>SUMIF(Gastos!$D$3:$D$1000,F17,Gastos!$E$3:$E$1000)</f>
        <v>0</v>
      </c>
      <c r="H17" s="12">
        <f>IFERROR(G17/SUM(Gastos!$E$3:$E$1000),0)</f>
        <v>0</v>
      </c>
    </row>
    <row r="18" spans="1:8" ht="21.95" customHeight="1" x14ac:dyDescent="0.25">
      <c r="A18" s="3" t="s">
        <v>29</v>
      </c>
      <c r="B18" s="4">
        <f>SUMPRODUCT((MONTH(Vendas!$B$3:$B$1000)=7)*(YEAR(Vendas!$B$3:$B$1000)=2025)*(Vendas!$I$3:$I$1000&lt;&gt;"Cancelada")*Vendas!$G$3:$G$1000)</f>
        <v>0</v>
      </c>
      <c r="C18" s="4">
        <f>SUMPRODUCT((MONTH(Gastos!$B$3:$B$1000)=7)*(YEAR(Gastos!$B$3:$B$1000)=2025)*Gastos!$E$3:$E$1000)</f>
        <v>0</v>
      </c>
      <c r="D18" s="5">
        <f t="shared" si="0"/>
        <v>0</v>
      </c>
      <c r="F18" s="13" t="s">
        <v>30</v>
      </c>
      <c r="G18" s="14">
        <f>SUM(G12:G17)</f>
        <v>596.5</v>
      </c>
      <c r="H18" s="15" t="s">
        <v>31</v>
      </c>
    </row>
    <row r="19" spans="1:8" ht="18" customHeight="1" x14ac:dyDescent="0.25">
      <c r="A19" s="9" t="s">
        <v>32</v>
      </c>
      <c r="B19" s="7">
        <f>SUMPRODUCT((MONTH(Vendas!$B$3:$B$1000)=8)*(YEAR(Vendas!$B$3:$B$1000)=2025)*(Vendas!$I$3:$I$1000&lt;&gt;"Cancelada")*Vendas!$G$3:$G$1000)</f>
        <v>0</v>
      </c>
      <c r="C19" s="7">
        <f>SUMPRODUCT((MONTH(Gastos!$B$3:$B$1000)=8)*(YEAR(Gastos!$B$3:$B$1000)=2025)*Gastos!$E$3:$E$1000)</f>
        <v>0</v>
      </c>
      <c r="D19" s="10">
        <f t="shared" si="0"/>
        <v>0</v>
      </c>
    </row>
    <row r="20" spans="1:8" ht="18" customHeight="1" x14ac:dyDescent="0.25">
      <c r="A20" s="3" t="s">
        <v>33</v>
      </c>
      <c r="B20" s="4">
        <f>SUMPRODUCT((MONTH(Vendas!$B$3:$B$1000)=9)*(YEAR(Vendas!$B$3:$B$1000)=2025)*(Vendas!$I$3:$I$1000&lt;&gt;"Cancelada")*Vendas!$G$3:$G$1000)</f>
        <v>0</v>
      </c>
      <c r="C20" s="4">
        <f>SUMPRODUCT((MONTH(Gastos!$B$3:$B$1000)=9)*(YEAR(Gastos!$B$3:$B$1000)=2025)*Gastos!$E$3:$E$1000)</f>
        <v>0</v>
      </c>
      <c r="D20" s="5">
        <f t="shared" si="0"/>
        <v>0</v>
      </c>
    </row>
    <row r="21" spans="1:8" ht="18" customHeight="1" x14ac:dyDescent="0.25">
      <c r="A21" s="9" t="s">
        <v>34</v>
      </c>
      <c r="B21" s="7">
        <f>SUMPRODUCT((MONTH(Vendas!$B$3:$B$1000)=10)*(YEAR(Vendas!$B$3:$B$1000)=2025)*(Vendas!$I$3:$I$1000&lt;&gt;"Cancelada")*Vendas!$G$3:$G$1000)</f>
        <v>0</v>
      </c>
      <c r="C21" s="7">
        <f>SUMPRODUCT((MONTH(Gastos!$B$3:$B$1000)=10)*(YEAR(Gastos!$B$3:$B$1000)=2025)*Gastos!$E$3:$E$1000)</f>
        <v>0</v>
      </c>
      <c r="D21" s="10">
        <f t="shared" si="0"/>
        <v>0</v>
      </c>
    </row>
    <row r="22" spans="1:8" ht="18" customHeight="1" x14ac:dyDescent="0.25">
      <c r="A22" s="3" t="s">
        <v>35</v>
      </c>
      <c r="B22" s="4">
        <f>SUMPRODUCT((MONTH(Vendas!$B$3:$B$1000)=11)*(YEAR(Vendas!$B$3:$B$1000)=2025)*(Vendas!$I$3:$I$1000&lt;&gt;"Cancelada")*Vendas!$G$3:$G$1000)</f>
        <v>0</v>
      </c>
      <c r="C22" s="4">
        <f>SUMPRODUCT((MONTH(Gastos!$B$3:$B$1000)=11)*(YEAR(Gastos!$B$3:$B$1000)=2025)*Gastos!$E$3:$E$1000)</f>
        <v>0</v>
      </c>
      <c r="D22" s="5">
        <f t="shared" si="0"/>
        <v>0</v>
      </c>
    </row>
    <row r="23" spans="1:8" ht="18" customHeight="1" x14ac:dyDescent="0.25">
      <c r="A23" s="9" t="s">
        <v>36</v>
      </c>
      <c r="B23" s="7">
        <f>SUMPRODUCT((MONTH(Vendas!$B$3:$B$1000)=12)*(YEAR(Vendas!$B$3:$B$1000)=2025)*(Vendas!$I$3:$I$1000&lt;&gt;"Cancelada")*Vendas!$G$3:$G$1000)</f>
        <v>0</v>
      </c>
      <c r="C23" s="7">
        <f>SUMPRODUCT((MONTH(Gastos!$B$3:$B$1000)=12)*(YEAR(Gastos!$B$3:$B$1000)=2025)*Gastos!$E$3:$E$1000)</f>
        <v>0</v>
      </c>
      <c r="D23" s="10">
        <f t="shared" si="0"/>
        <v>0</v>
      </c>
    </row>
    <row r="24" spans="1:8" ht="21.95" customHeight="1" x14ac:dyDescent="0.25">
      <c r="A24" s="16" t="s">
        <v>30</v>
      </c>
      <c r="B24" s="14">
        <f>SUM(B12:B23)</f>
        <v>153.69999999999999</v>
      </c>
      <c r="C24" s="14">
        <f>SUM(C12:C23)</f>
        <v>596.5</v>
      </c>
      <c r="D24" s="14">
        <f>SUM(D12:D23)</f>
        <v>-442.8</v>
      </c>
    </row>
  </sheetData>
  <mergeCells count="22">
    <mergeCell ref="A1:J1"/>
    <mergeCell ref="E6:F6"/>
    <mergeCell ref="A5:B5"/>
    <mergeCell ref="G5:H5"/>
    <mergeCell ref="K6:L6"/>
    <mergeCell ref="I5:J5"/>
    <mergeCell ref="A4:B4"/>
    <mergeCell ref="G4:H4"/>
    <mergeCell ref="I4:J4"/>
    <mergeCell ref="A2:J2"/>
    <mergeCell ref="K4:L4"/>
    <mergeCell ref="A10:D10"/>
    <mergeCell ref="A6:B6"/>
    <mergeCell ref="C4:D4"/>
    <mergeCell ref="E4:F4"/>
    <mergeCell ref="G6:H6"/>
    <mergeCell ref="F10:H10"/>
    <mergeCell ref="C6:D6"/>
    <mergeCell ref="I6:J6"/>
    <mergeCell ref="C5:D5"/>
    <mergeCell ref="E5:F5"/>
    <mergeCell ref="K5:L5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8792A"/>
  </sheetPr>
  <dimension ref="A1:K8"/>
  <sheetViews>
    <sheetView workbookViewId="0">
      <pane ySplit="2" topLeftCell="A3" activePane="bottomLeft" state="frozen"/>
      <selection pane="bottomLeft" sqref="A1:K1"/>
    </sheetView>
  </sheetViews>
  <sheetFormatPr defaultRowHeight="15" x14ac:dyDescent="0.25"/>
  <cols>
    <col min="1" max="1" width="8" customWidth="1"/>
    <col min="2" max="2" width="28" customWidth="1"/>
    <col min="3" max="3" width="14" customWidth="1"/>
    <col min="4" max="4" width="13" customWidth="1"/>
    <col min="5" max="5" width="12" customWidth="1"/>
    <col min="6" max="7" width="13" customWidth="1"/>
    <col min="8" max="8" width="11" customWidth="1"/>
    <col min="9" max="9" width="18" customWidth="1"/>
    <col min="10" max="10" width="12" customWidth="1"/>
    <col min="11" max="11" width="30" customWidth="1"/>
  </cols>
  <sheetData>
    <row r="1" spans="1:11" ht="30" customHeight="1" x14ac:dyDescent="0.25">
      <c r="A1" s="90" t="s">
        <v>37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1" ht="21.95" customHeight="1" x14ac:dyDescent="0.25">
      <c r="A2" s="1" t="s">
        <v>38</v>
      </c>
      <c r="B2" s="1" t="s">
        <v>39</v>
      </c>
      <c r="C2" s="1" t="s">
        <v>40</v>
      </c>
      <c r="D2" s="1" t="s">
        <v>41</v>
      </c>
      <c r="E2" s="1" t="s">
        <v>42</v>
      </c>
      <c r="F2" s="1" t="s">
        <v>43</v>
      </c>
      <c r="G2" s="1" t="s">
        <v>44</v>
      </c>
      <c r="H2" s="1" t="s">
        <v>45</v>
      </c>
      <c r="I2" s="1" t="s">
        <v>46</v>
      </c>
      <c r="J2" s="1" t="s">
        <v>47</v>
      </c>
      <c r="K2" s="1" t="s">
        <v>48</v>
      </c>
    </row>
    <row r="3" spans="1:11" x14ac:dyDescent="0.25">
      <c r="A3" s="17" t="s">
        <v>49</v>
      </c>
      <c r="B3" s="9" t="s">
        <v>50</v>
      </c>
      <c r="C3" s="18" t="s">
        <v>51</v>
      </c>
      <c r="D3" s="18" t="s">
        <v>52</v>
      </c>
      <c r="E3" s="19">
        <v>10</v>
      </c>
      <c r="F3" s="20">
        <v>4.5</v>
      </c>
      <c r="G3" s="10">
        <f>E3*F3</f>
        <v>45</v>
      </c>
      <c r="H3" s="19">
        <v>5</v>
      </c>
      <c r="I3" s="6" t="s">
        <v>53</v>
      </c>
      <c r="J3" s="21" t="str">
        <f>IF(H3&gt;0,IF(E3&lt;=H3,"⚠️ Baixo","✅ OK"),"—")</f>
        <v>✅ OK</v>
      </c>
      <c r="K3" s="22" t="s">
        <v>54</v>
      </c>
    </row>
    <row r="4" spans="1:11" x14ac:dyDescent="0.25">
      <c r="A4" s="23" t="s">
        <v>55</v>
      </c>
      <c r="B4" s="3" t="s">
        <v>56</v>
      </c>
      <c r="C4" s="24" t="s">
        <v>57</v>
      </c>
      <c r="D4" s="24" t="s">
        <v>52</v>
      </c>
      <c r="E4" s="25">
        <v>2</v>
      </c>
      <c r="F4" s="26">
        <v>28</v>
      </c>
      <c r="G4" s="5">
        <f>E4*F4</f>
        <v>56</v>
      </c>
      <c r="H4" s="25">
        <v>0.5</v>
      </c>
      <c r="I4" s="11" t="s">
        <v>53</v>
      </c>
      <c r="J4" s="27" t="str">
        <f>IF(H4&gt;0,IF(E4&lt;=H4,"⚠️ Baixo","✅ OK"),"—")</f>
        <v>✅ OK</v>
      </c>
      <c r="K4" s="28"/>
    </row>
    <row r="5" spans="1:11" x14ac:dyDescent="0.25">
      <c r="A5" s="17" t="s">
        <v>58</v>
      </c>
      <c r="B5" s="9" t="s">
        <v>59</v>
      </c>
      <c r="C5" s="18" t="s">
        <v>60</v>
      </c>
      <c r="D5" s="18" t="s">
        <v>61</v>
      </c>
      <c r="E5" s="19">
        <v>200</v>
      </c>
      <c r="F5" s="20">
        <v>1.2</v>
      </c>
      <c r="G5" s="10">
        <f>E5*F5</f>
        <v>240</v>
      </c>
      <c r="H5" s="19">
        <v>50</v>
      </c>
      <c r="I5" s="6" t="s">
        <v>62</v>
      </c>
      <c r="J5" s="21" t="str">
        <f>IF(H5&gt;0,IF(E5&lt;=H5,"⚠️ Baixo","✅ OK"),"—")</f>
        <v>✅ OK</v>
      </c>
      <c r="K5" s="22"/>
    </row>
    <row r="6" spans="1:11" x14ac:dyDescent="0.25">
      <c r="A6" s="23" t="s">
        <v>63</v>
      </c>
      <c r="B6" s="3" t="s">
        <v>64</v>
      </c>
      <c r="C6" s="24" t="s">
        <v>65</v>
      </c>
      <c r="D6" s="24" t="s">
        <v>61</v>
      </c>
      <c r="E6" s="25">
        <v>500</v>
      </c>
      <c r="F6" s="26">
        <v>0.1</v>
      </c>
      <c r="G6" s="5">
        <f>E6*F6</f>
        <v>50</v>
      </c>
      <c r="H6" s="25">
        <v>100</v>
      </c>
      <c r="I6" s="11" t="s">
        <v>66</v>
      </c>
      <c r="J6" s="27" t="str">
        <f>IF(H6&gt;0,IF(E6&lt;=H6,"⚠️ Baixo","✅ OK"),"—")</f>
        <v>✅ OK</v>
      </c>
      <c r="K6" s="28" t="s">
        <v>67</v>
      </c>
    </row>
    <row r="7" spans="1:11" x14ac:dyDescent="0.25">
      <c r="A7" s="17" t="s">
        <v>68</v>
      </c>
      <c r="B7" s="9" t="s">
        <v>69</v>
      </c>
      <c r="C7" s="18" t="s">
        <v>70</v>
      </c>
      <c r="D7" s="18" t="s">
        <v>52</v>
      </c>
      <c r="E7" s="19">
        <v>5</v>
      </c>
      <c r="F7" s="20">
        <v>2.8</v>
      </c>
      <c r="G7" s="10">
        <f>E7*F7</f>
        <v>14</v>
      </c>
      <c r="H7" s="19">
        <v>2</v>
      </c>
      <c r="I7" s="6" t="s">
        <v>71</v>
      </c>
      <c r="J7" s="21" t="str">
        <f>IF(H7&gt;0,IF(E7&lt;=H7,"⚠️ Baixo","✅ OK"),"—")</f>
        <v>✅ OK</v>
      </c>
      <c r="K7" s="22" t="s">
        <v>72</v>
      </c>
    </row>
    <row r="8" spans="1:11" x14ac:dyDescent="0.25">
      <c r="A8" s="87" t="s">
        <v>30</v>
      </c>
      <c r="B8" s="88"/>
      <c r="C8" s="88"/>
      <c r="D8" s="88"/>
      <c r="E8" s="88"/>
      <c r="F8" s="89"/>
      <c r="G8" s="14">
        <f>SUM(G3:G7)</f>
        <v>405</v>
      </c>
      <c r="H8" s="29"/>
      <c r="I8" s="29"/>
      <c r="J8" s="29"/>
      <c r="K8" s="29"/>
    </row>
  </sheetData>
  <mergeCells count="2">
    <mergeCell ref="A8:F8"/>
    <mergeCell ref="A1:K1"/>
  </mergeCells>
  <conditionalFormatting sqref="J3:J1000">
    <cfRule type="cellIs" dxfId="13" priority="1" operator="equal">
      <formula>"⚠️ Baixo"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100-000000000000}">
          <x14:formula1>
            <xm:f>Listas!$A$2:$A$14</xm:f>
          </x14:formula1>
          <xm:sqref>C3:C1000</xm:sqref>
        </x14:dataValidation>
        <x14:dataValidation type="list" allowBlank="1" xr:uid="{00000000-0002-0000-0100-000001000000}">
          <x14:formula1>
            <xm:f>Listas!$B$2:$B$9</xm:f>
          </x14:formula1>
          <xm:sqref>D3:D1000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8792A"/>
  </sheetPr>
  <dimension ref="A1:H44"/>
  <sheetViews>
    <sheetView workbookViewId="0">
      <selection activeCell="T23" sqref="T23"/>
    </sheetView>
  </sheetViews>
  <sheetFormatPr defaultRowHeight="15" x14ac:dyDescent="0.25"/>
  <cols>
    <col min="1" max="1" width="32" customWidth="1"/>
    <col min="2" max="2" width="12" customWidth="1"/>
    <col min="3" max="3" width="10" customWidth="1"/>
    <col min="4" max="4" width="12" customWidth="1"/>
    <col min="5" max="6" width="13" customWidth="1"/>
    <col min="7" max="7" width="12" customWidth="1"/>
    <col min="8" max="8" width="13" customWidth="1"/>
  </cols>
  <sheetData>
    <row r="1" spans="1:6" ht="30" customHeight="1" x14ac:dyDescent="0.25">
      <c r="A1" s="90" t="s">
        <v>73</v>
      </c>
      <c r="B1" s="71"/>
      <c r="C1" s="71"/>
      <c r="D1" s="71"/>
      <c r="E1" s="71"/>
      <c r="F1" s="71"/>
    </row>
    <row r="2" spans="1:6" ht="20.100000000000001" customHeight="1" x14ac:dyDescent="0.25">
      <c r="A2" s="92" t="s">
        <v>74</v>
      </c>
      <c r="B2" s="71"/>
      <c r="C2" s="71"/>
      <c r="D2" s="71"/>
      <c r="E2" s="71"/>
      <c r="F2" s="71"/>
    </row>
    <row r="3" spans="1:6" ht="20.100000000000001" customHeight="1" x14ac:dyDescent="0.25">
      <c r="A3" s="30" t="s">
        <v>75</v>
      </c>
      <c r="B3" s="31">
        <v>100</v>
      </c>
      <c r="C3" s="32"/>
    </row>
    <row r="4" spans="1:6" ht="20.100000000000001" customHeight="1" x14ac:dyDescent="0.25">
      <c r="A4" s="30" t="s">
        <v>76</v>
      </c>
      <c r="B4" s="31">
        <v>200</v>
      </c>
      <c r="C4" s="32" t="s">
        <v>77</v>
      </c>
    </row>
    <row r="5" spans="1:6" ht="20.100000000000001" customHeight="1" x14ac:dyDescent="0.25">
      <c r="A5" s="30" t="s">
        <v>78</v>
      </c>
      <c r="B5" s="33">
        <v>0.08</v>
      </c>
      <c r="C5" s="32" t="s">
        <v>79</v>
      </c>
    </row>
    <row r="6" spans="1:6" ht="20.100000000000001" customHeight="1" x14ac:dyDescent="0.25">
      <c r="A6" s="30" t="s">
        <v>80</v>
      </c>
      <c r="B6" s="34">
        <v>4.5</v>
      </c>
      <c r="C6" s="32" t="s">
        <v>81</v>
      </c>
    </row>
    <row r="7" spans="1:6" ht="20.100000000000001" customHeight="1" x14ac:dyDescent="0.25">
      <c r="A7" s="30" t="s">
        <v>82</v>
      </c>
      <c r="B7" s="34">
        <v>25</v>
      </c>
      <c r="C7" s="32" t="s">
        <v>81</v>
      </c>
    </row>
    <row r="8" spans="1:6" ht="20.100000000000001" customHeight="1" x14ac:dyDescent="0.25">
      <c r="A8" s="30" t="s">
        <v>83</v>
      </c>
      <c r="B8" s="34">
        <v>1.2</v>
      </c>
      <c r="C8" s="32" t="s">
        <v>84</v>
      </c>
    </row>
    <row r="9" spans="1:6" ht="20.100000000000001" customHeight="1" x14ac:dyDescent="0.25">
      <c r="A9" s="30" t="s">
        <v>85</v>
      </c>
      <c r="B9" s="34">
        <v>0.1</v>
      </c>
      <c r="C9" s="32" t="s">
        <v>84</v>
      </c>
    </row>
    <row r="10" spans="1:6" ht="20.100000000000001" customHeight="1" x14ac:dyDescent="0.25">
      <c r="A10" s="30" t="s">
        <v>86</v>
      </c>
      <c r="B10" s="34">
        <v>0.08</v>
      </c>
      <c r="C10" s="32" t="s">
        <v>84</v>
      </c>
    </row>
    <row r="11" spans="1:6" ht="20.100000000000001" customHeight="1" x14ac:dyDescent="0.25">
      <c r="A11" s="30" t="s">
        <v>87</v>
      </c>
      <c r="B11" s="34">
        <v>0</v>
      </c>
      <c r="C11" s="32" t="s">
        <v>88</v>
      </c>
    </row>
    <row r="12" spans="1:6" ht="20.100000000000001" customHeight="1" x14ac:dyDescent="0.25">
      <c r="A12" s="30" t="s">
        <v>89</v>
      </c>
      <c r="B12" s="33">
        <v>0.4</v>
      </c>
      <c r="C12" s="32" t="s">
        <v>79</v>
      </c>
    </row>
    <row r="14" spans="1:6" ht="20.100000000000001" customHeight="1" x14ac:dyDescent="0.25">
      <c r="A14" s="92" t="s">
        <v>90</v>
      </c>
      <c r="B14" s="71"/>
      <c r="C14" s="71"/>
      <c r="D14" s="71"/>
      <c r="E14" s="71"/>
      <c r="F14" s="71"/>
    </row>
    <row r="15" spans="1:6" ht="20.100000000000001" customHeight="1" x14ac:dyDescent="0.25">
      <c r="A15" s="35" t="s">
        <v>91</v>
      </c>
      <c r="B15" s="36">
        <f>B3*B4</f>
        <v>20000</v>
      </c>
      <c r="C15" s="32" t="s">
        <v>77</v>
      </c>
    </row>
    <row r="16" spans="1:6" ht="20.100000000000001" customHeight="1" x14ac:dyDescent="0.25">
      <c r="A16" s="35" t="s">
        <v>92</v>
      </c>
      <c r="B16" s="37">
        <f>B15*B5</f>
        <v>1600</v>
      </c>
      <c r="C16" s="32" t="s">
        <v>77</v>
      </c>
    </row>
    <row r="17" spans="1:3" ht="20.100000000000001" customHeight="1" x14ac:dyDescent="0.25">
      <c r="A17" s="35" t="s">
        <v>93</v>
      </c>
      <c r="B17" s="38">
        <f>(B15-B16)/1000</f>
        <v>18.399999999999999</v>
      </c>
      <c r="C17" s="32" t="s">
        <v>52</v>
      </c>
    </row>
    <row r="18" spans="1:3" ht="20.100000000000001" customHeight="1" x14ac:dyDescent="0.25">
      <c r="A18" s="35" t="s">
        <v>94</v>
      </c>
      <c r="B18" s="38">
        <f>B16/1000</f>
        <v>1.6</v>
      </c>
      <c r="C18" s="32" t="s">
        <v>52</v>
      </c>
    </row>
    <row r="19" spans="1:3" ht="20.100000000000001" customHeight="1" x14ac:dyDescent="0.25">
      <c r="A19" s="35" t="s">
        <v>95</v>
      </c>
      <c r="B19" s="39">
        <f>B17*B6</f>
        <v>82.8</v>
      </c>
      <c r="C19" s="32" t="s">
        <v>88</v>
      </c>
    </row>
    <row r="20" spans="1:3" ht="20.100000000000001" customHeight="1" x14ac:dyDescent="0.25">
      <c r="A20" s="35" t="s">
        <v>96</v>
      </c>
      <c r="B20" s="39">
        <f>B18*B7</f>
        <v>40</v>
      </c>
      <c r="C20" s="32" t="s">
        <v>88</v>
      </c>
    </row>
    <row r="21" spans="1:3" ht="20.100000000000001" customHeight="1" x14ac:dyDescent="0.25">
      <c r="A21" s="35" t="s">
        <v>97</v>
      </c>
      <c r="B21" s="39">
        <f>B3*B8</f>
        <v>120</v>
      </c>
      <c r="C21" s="32" t="s">
        <v>88</v>
      </c>
    </row>
    <row r="22" spans="1:3" ht="20.100000000000001" customHeight="1" x14ac:dyDescent="0.25">
      <c r="A22" s="35" t="s">
        <v>98</v>
      </c>
      <c r="B22" s="39">
        <f>B3*B9</f>
        <v>10</v>
      </c>
      <c r="C22" s="32" t="s">
        <v>88</v>
      </c>
    </row>
    <row r="23" spans="1:3" ht="20.100000000000001" customHeight="1" x14ac:dyDescent="0.25">
      <c r="A23" s="35" t="s">
        <v>99</v>
      </c>
      <c r="B23" s="39">
        <f>B3*B10</f>
        <v>8</v>
      </c>
      <c r="C23" s="32" t="s">
        <v>88</v>
      </c>
    </row>
    <row r="24" spans="1:3" ht="20.100000000000001" customHeight="1" x14ac:dyDescent="0.25">
      <c r="A24" s="35" t="s">
        <v>100</v>
      </c>
      <c r="B24" s="39">
        <f>B11</f>
        <v>0</v>
      </c>
      <c r="C24" s="32" t="s">
        <v>88</v>
      </c>
    </row>
    <row r="25" spans="1:3" ht="26.1" customHeight="1" x14ac:dyDescent="0.25">
      <c r="A25" s="90" t="s">
        <v>101</v>
      </c>
      <c r="B25" s="40">
        <f>SUM(B19:B24)</f>
        <v>260.8</v>
      </c>
      <c r="C25" s="41"/>
    </row>
    <row r="26" spans="1:3" ht="26.1" customHeight="1" x14ac:dyDescent="0.25">
      <c r="A26" s="76" t="s">
        <v>102</v>
      </c>
      <c r="B26" s="42">
        <f>IF(B3&gt;0,B25/B3,0)</f>
        <v>2.6080000000000001</v>
      </c>
      <c r="C26" s="43"/>
    </row>
    <row r="27" spans="1:3" ht="26.1" customHeight="1" x14ac:dyDescent="0.25">
      <c r="A27" s="91" t="s">
        <v>103</v>
      </c>
      <c r="B27" s="44">
        <f>B26*(1+B12)</f>
        <v>3.6511999999999998</v>
      </c>
      <c r="C27" s="45"/>
    </row>
    <row r="29" spans="1:3" ht="20.100000000000001" customHeight="1" x14ac:dyDescent="0.25">
      <c r="A29" s="92" t="s">
        <v>104</v>
      </c>
      <c r="B29" s="71"/>
      <c r="C29" s="71"/>
    </row>
    <row r="30" spans="1:3" x14ac:dyDescent="0.25">
      <c r="A30" s="46" t="s">
        <v>105</v>
      </c>
      <c r="B30" s="46" t="s">
        <v>106</v>
      </c>
    </row>
    <row r="31" spans="1:3" x14ac:dyDescent="0.25">
      <c r="A31" s="6" t="s">
        <v>51</v>
      </c>
      <c r="B31" s="10">
        <f t="shared" ref="B31:B36" si="0">B19</f>
        <v>82.8</v>
      </c>
    </row>
    <row r="32" spans="1:3" x14ac:dyDescent="0.25">
      <c r="A32" s="11" t="s">
        <v>57</v>
      </c>
      <c r="B32" s="5">
        <f t="shared" si="0"/>
        <v>40</v>
      </c>
    </row>
    <row r="33" spans="1:8" x14ac:dyDescent="0.25">
      <c r="A33" s="6" t="s">
        <v>60</v>
      </c>
      <c r="B33" s="10">
        <f t="shared" si="0"/>
        <v>120</v>
      </c>
    </row>
    <row r="34" spans="1:8" x14ac:dyDescent="0.25">
      <c r="A34" s="11" t="s">
        <v>65</v>
      </c>
      <c r="B34" s="5">
        <f t="shared" si="0"/>
        <v>10</v>
      </c>
    </row>
    <row r="35" spans="1:8" x14ac:dyDescent="0.25">
      <c r="A35" s="6" t="s">
        <v>107</v>
      </c>
      <c r="B35" s="10">
        <f t="shared" si="0"/>
        <v>8</v>
      </c>
    </row>
    <row r="36" spans="1:8" x14ac:dyDescent="0.25">
      <c r="A36" s="11" t="s">
        <v>108</v>
      </c>
      <c r="B36" s="5">
        <f t="shared" si="0"/>
        <v>0</v>
      </c>
    </row>
    <row r="40" spans="1:8" ht="20.100000000000001" customHeight="1" x14ac:dyDescent="0.25">
      <c r="A40" s="92" t="s">
        <v>109</v>
      </c>
      <c r="B40" s="71"/>
      <c r="C40" s="71"/>
      <c r="D40" s="71"/>
      <c r="E40" s="71"/>
      <c r="F40" s="71"/>
      <c r="G40" s="71"/>
      <c r="H40" s="71"/>
    </row>
    <row r="41" spans="1:8" ht="21.95" customHeight="1" x14ac:dyDescent="0.25">
      <c r="A41" s="1" t="s">
        <v>110</v>
      </c>
      <c r="B41" s="1" t="s">
        <v>111</v>
      </c>
      <c r="C41" s="1" t="s">
        <v>112</v>
      </c>
      <c r="D41" s="1" t="s">
        <v>113</v>
      </c>
      <c r="E41" s="1" t="s">
        <v>114</v>
      </c>
      <c r="F41" s="1" t="s">
        <v>115</v>
      </c>
      <c r="G41" s="1" t="s">
        <v>116</v>
      </c>
      <c r="H41" s="1" t="s">
        <v>117</v>
      </c>
    </row>
    <row r="42" spans="1:8" x14ac:dyDescent="0.25">
      <c r="A42" s="6"/>
      <c r="B42" s="6"/>
      <c r="C42" s="6"/>
      <c r="D42" s="6"/>
      <c r="E42" s="6"/>
      <c r="F42" s="6"/>
      <c r="G42" s="6"/>
      <c r="H42" s="6"/>
    </row>
    <row r="43" spans="1:8" x14ac:dyDescent="0.25">
      <c r="A43" s="11"/>
      <c r="B43" s="11"/>
      <c r="C43" s="11"/>
      <c r="D43" s="11"/>
      <c r="E43" s="11"/>
      <c r="F43" s="11"/>
      <c r="G43" s="11"/>
      <c r="H43" s="11"/>
    </row>
    <row r="44" spans="1:8" x14ac:dyDescent="0.25">
      <c r="A44" s="6"/>
      <c r="B44" s="6"/>
      <c r="C44" s="6"/>
      <c r="D44" s="6"/>
      <c r="E44" s="6"/>
      <c r="F44" s="6"/>
      <c r="G44" s="6"/>
      <c r="H44" s="6"/>
    </row>
  </sheetData>
  <mergeCells count="8">
    <mergeCell ref="A29:C29"/>
    <mergeCell ref="A40:H40"/>
    <mergeCell ref="A27"/>
    <mergeCell ref="A2:F2"/>
    <mergeCell ref="A14:F14"/>
    <mergeCell ref="A26"/>
    <mergeCell ref="A1:F1"/>
    <mergeCell ref="A25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8792A"/>
  </sheetPr>
  <dimension ref="A1:N4"/>
  <sheetViews>
    <sheetView workbookViewId="0">
      <pane ySplit="2" topLeftCell="A3" activePane="bottomLeft" state="frozen"/>
      <selection pane="bottomLeft" sqref="A1:N1"/>
    </sheetView>
  </sheetViews>
  <sheetFormatPr defaultRowHeight="15" x14ac:dyDescent="0.25"/>
  <cols>
    <col min="1" max="1" width="8" customWidth="1"/>
    <col min="2" max="2" width="26" customWidth="1"/>
    <col min="3" max="3" width="18" customWidth="1"/>
    <col min="4" max="4" width="9" customWidth="1"/>
    <col min="5" max="5" width="10" customWidth="1"/>
    <col min="6" max="6" width="9" customWidth="1"/>
    <col min="7" max="7" width="10" customWidth="1"/>
    <col min="8" max="8" width="18" customWidth="1"/>
    <col min="9" max="9" width="9" customWidth="1"/>
    <col min="10" max="10" width="30" customWidth="1"/>
    <col min="11" max="11" width="22" customWidth="1"/>
    <col min="12" max="12" width="13" customWidth="1"/>
    <col min="13" max="13" width="40" customWidth="1"/>
    <col min="14" max="14" width="13" customWidth="1"/>
  </cols>
  <sheetData>
    <row r="1" spans="1:14" ht="30" customHeight="1" x14ac:dyDescent="0.25">
      <c r="A1" s="90" t="s">
        <v>118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</row>
    <row r="2" spans="1:14" ht="21.95" customHeight="1" x14ac:dyDescent="0.25">
      <c r="A2" s="1" t="s">
        <v>38</v>
      </c>
      <c r="B2" s="1" t="s">
        <v>39</v>
      </c>
      <c r="C2" s="1" t="s">
        <v>119</v>
      </c>
      <c r="D2" s="1" t="s">
        <v>120</v>
      </c>
      <c r="E2" s="1" t="s">
        <v>121</v>
      </c>
      <c r="F2" s="1" t="s">
        <v>122</v>
      </c>
      <c r="G2" s="1" t="s">
        <v>123</v>
      </c>
      <c r="H2" s="1" t="s">
        <v>60</v>
      </c>
      <c r="I2" s="1" t="s">
        <v>124</v>
      </c>
      <c r="J2" s="1" t="s">
        <v>125</v>
      </c>
      <c r="K2" s="1" t="s">
        <v>126</v>
      </c>
      <c r="L2" s="1" t="s">
        <v>127</v>
      </c>
      <c r="M2" s="1" t="s">
        <v>48</v>
      </c>
      <c r="N2" s="1" t="s">
        <v>111</v>
      </c>
    </row>
    <row r="3" spans="1:14" ht="30" customHeight="1" x14ac:dyDescent="0.25">
      <c r="A3" s="17" t="s">
        <v>128</v>
      </c>
      <c r="B3" s="9" t="s">
        <v>129</v>
      </c>
      <c r="C3" s="18" t="s">
        <v>130</v>
      </c>
      <c r="D3" s="47">
        <v>200</v>
      </c>
      <c r="E3" s="48">
        <v>0.08</v>
      </c>
      <c r="F3" s="49">
        <v>55</v>
      </c>
      <c r="G3" s="18" t="s">
        <v>131</v>
      </c>
      <c r="H3" s="6" t="s">
        <v>132</v>
      </c>
      <c r="I3" s="18">
        <v>48</v>
      </c>
      <c r="J3" s="50" t="s">
        <v>133</v>
      </c>
      <c r="K3" s="51" t="s">
        <v>134</v>
      </c>
      <c r="L3" s="18" t="s">
        <v>135</v>
      </c>
      <c r="M3" s="52" t="s">
        <v>136</v>
      </c>
      <c r="N3" s="53" t="s">
        <v>137</v>
      </c>
    </row>
    <row r="4" spans="1:14" ht="30" customHeight="1" x14ac:dyDescent="0.25">
      <c r="A4" s="23" t="s">
        <v>138</v>
      </c>
      <c r="B4" s="3" t="s">
        <v>139</v>
      </c>
      <c r="C4" s="24" t="s">
        <v>140</v>
      </c>
      <c r="D4" s="54">
        <v>180</v>
      </c>
      <c r="E4" s="55">
        <v>7.0000000000000007E-2</v>
      </c>
      <c r="F4" s="56">
        <v>52</v>
      </c>
      <c r="G4" s="24" t="s">
        <v>141</v>
      </c>
      <c r="H4" s="11" t="s">
        <v>142</v>
      </c>
      <c r="I4" s="24">
        <v>72</v>
      </c>
      <c r="J4" s="57" t="s">
        <v>143</v>
      </c>
      <c r="K4" s="58" t="s">
        <v>144</v>
      </c>
      <c r="L4" s="24" t="s">
        <v>145</v>
      </c>
      <c r="M4" s="59" t="s">
        <v>146</v>
      </c>
      <c r="N4" s="60" t="s">
        <v>147</v>
      </c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8792A"/>
  </sheetPr>
  <dimension ref="A1:J6"/>
  <sheetViews>
    <sheetView workbookViewId="0">
      <pane ySplit="2" topLeftCell="A3" activePane="bottomLeft" state="frozen"/>
      <selection pane="bottomLeft" sqref="A1:J1"/>
    </sheetView>
  </sheetViews>
  <sheetFormatPr defaultRowHeight="15" x14ac:dyDescent="0.25"/>
  <cols>
    <col min="1" max="1" width="8" customWidth="1"/>
    <col min="2" max="2" width="26" customWidth="1"/>
    <col min="3" max="3" width="18" customWidth="1"/>
    <col min="4" max="5" width="11" customWidth="1"/>
    <col min="6" max="7" width="13" customWidth="1"/>
    <col min="8" max="8" width="14" customWidth="1"/>
    <col min="9" max="9" width="11" customWidth="1"/>
    <col min="10" max="10" width="13" customWidth="1"/>
  </cols>
  <sheetData>
    <row r="1" spans="1:10" ht="30" customHeight="1" x14ac:dyDescent="0.25">
      <c r="A1" s="90" t="s">
        <v>148</v>
      </c>
      <c r="B1" s="71"/>
      <c r="C1" s="71"/>
      <c r="D1" s="71"/>
      <c r="E1" s="71"/>
      <c r="F1" s="71"/>
      <c r="G1" s="71"/>
      <c r="H1" s="71"/>
      <c r="I1" s="71"/>
      <c r="J1" s="71"/>
    </row>
    <row r="2" spans="1:10" ht="21.95" customHeight="1" x14ac:dyDescent="0.25">
      <c r="A2" s="1" t="s">
        <v>38</v>
      </c>
      <c r="B2" s="1" t="s">
        <v>39</v>
      </c>
      <c r="C2" s="1" t="s">
        <v>57</v>
      </c>
      <c r="D2" s="1" t="s">
        <v>149</v>
      </c>
      <c r="E2" s="1" t="s">
        <v>42</v>
      </c>
      <c r="F2" s="1" t="s">
        <v>150</v>
      </c>
      <c r="G2" s="1" t="s">
        <v>151</v>
      </c>
      <c r="H2" s="1" t="s">
        <v>152</v>
      </c>
      <c r="I2" s="1" t="s">
        <v>153</v>
      </c>
      <c r="J2" s="1" t="s">
        <v>47</v>
      </c>
    </row>
    <row r="3" spans="1:10" x14ac:dyDescent="0.25">
      <c r="A3" s="17" t="s">
        <v>154</v>
      </c>
      <c r="B3" s="9" t="s">
        <v>155</v>
      </c>
      <c r="C3" s="18" t="s">
        <v>156</v>
      </c>
      <c r="D3" s="18" t="s">
        <v>157</v>
      </c>
      <c r="E3" s="61">
        <v>45</v>
      </c>
      <c r="F3" s="20">
        <v>2.85</v>
      </c>
      <c r="G3" s="20">
        <v>9.9</v>
      </c>
      <c r="H3" s="10">
        <f>E3*G3</f>
        <v>445.5</v>
      </c>
      <c r="I3" s="62">
        <f>IF(F3&gt;0,(G3-F3)/F3,0)</f>
        <v>2.4736842105263159</v>
      </c>
      <c r="J3" s="21" t="str">
        <f>IF(E3=0,"❌ Esgotado",IF(E3&lt;5,"⚠️ Baixo","✅ OK"))</f>
        <v>✅ OK</v>
      </c>
    </row>
    <row r="4" spans="1:10" x14ac:dyDescent="0.25">
      <c r="A4" s="23" t="s">
        <v>158</v>
      </c>
      <c r="B4" s="3" t="s">
        <v>159</v>
      </c>
      <c r="C4" s="24" t="s">
        <v>160</v>
      </c>
      <c r="D4" s="24" t="s">
        <v>157</v>
      </c>
      <c r="E4" s="63">
        <v>12</v>
      </c>
      <c r="F4" s="26">
        <v>2.85</v>
      </c>
      <c r="G4" s="26">
        <v>9.9</v>
      </c>
      <c r="H4" s="5">
        <f>E4*G4</f>
        <v>118.80000000000001</v>
      </c>
      <c r="I4" s="64">
        <f>IF(F4&gt;0,(G4-F4)/F4,0)</f>
        <v>2.4736842105263159</v>
      </c>
      <c r="J4" s="27" t="str">
        <f>IF(E4=0,"❌ Esgotado",IF(E4&lt;5,"⚠️ Baixo","✅ OK"))</f>
        <v>✅ OK</v>
      </c>
    </row>
    <row r="5" spans="1:10" x14ac:dyDescent="0.25">
      <c r="A5" s="17" t="s">
        <v>161</v>
      </c>
      <c r="B5" s="9" t="s">
        <v>162</v>
      </c>
      <c r="C5" s="18" t="s">
        <v>163</v>
      </c>
      <c r="D5" s="18" t="s">
        <v>164</v>
      </c>
      <c r="E5" s="61">
        <v>4</v>
      </c>
      <c r="F5" s="20">
        <v>3.2</v>
      </c>
      <c r="G5" s="20">
        <v>14.9</v>
      </c>
      <c r="H5" s="10">
        <f>E5*G5</f>
        <v>59.6</v>
      </c>
      <c r="I5" s="62">
        <f>IF(F5&gt;0,(G5-F5)/F5,0)</f>
        <v>3.6562499999999996</v>
      </c>
      <c r="J5" s="21" t="str">
        <f>IF(E5=0,"❌ Esgotado",IF(E5&lt;5,"⚠️ Baixo","✅ OK"))</f>
        <v>⚠️ Baixo</v>
      </c>
    </row>
    <row r="6" spans="1:10" x14ac:dyDescent="0.25">
      <c r="A6" s="87" t="s">
        <v>30</v>
      </c>
      <c r="B6" s="88"/>
      <c r="C6" s="88"/>
      <c r="D6" s="89"/>
      <c r="E6" s="65">
        <f>SUM(E3:E5)</f>
        <v>61</v>
      </c>
      <c r="F6" s="29"/>
      <c r="G6" s="29"/>
      <c r="H6" s="14">
        <f>SUM(H3:H5)</f>
        <v>623.9</v>
      </c>
      <c r="I6" s="66">
        <f>IFERROR(AVERAGE(I3:I5),0)</f>
        <v>2.8678728070175441</v>
      </c>
      <c r="J6" s="29"/>
    </row>
  </sheetData>
  <mergeCells count="2">
    <mergeCell ref="A1:J1"/>
    <mergeCell ref="A6:D6"/>
  </mergeCells>
  <conditionalFormatting sqref="J3:J1000">
    <cfRule type="cellIs" dxfId="12" priority="1" operator="equal">
      <formula>"❌ Esgotado"</formula>
    </cfRule>
    <cfRule type="cellIs" dxfId="11" priority="2" operator="equal">
      <formula>"⚠️ Baixo"</formula>
    </cfRule>
    <cfRule type="cellIs" dxfId="10" priority="3" operator="equal">
      <formula>"✅ OK"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8792A"/>
  </sheetPr>
  <dimension ref="A1:J8"/>
  <sheetViews>
    <sheetView workbookViewId="0">
      <pane ySplit="2" topLeftCell="A3" activePane="bottomLeft" state="frozen"/>
      <selection pane="bottomLeft" sqref="A1:J1"/>
    </sheetView>
  </sheetViews>
  <sheetFormatPr defaultRowHeight="15" x14ac:dyDescent="0.25"/>
  <cols>
    <col min="1" max="1" width="8" customWidth="1"/>
    <col min="2" max="2" width="14" customWidth="1"/>
    <col min="3" max="3" width="20" customWidth="1"/>
    <col min="4" max="4" width="28" customWidth="1"/>
    <col min="5" max="5" width="11" customWidth="1"/>
    <col min="6" max="6" width="12" customWidth="1"/>
    <col min="7" max="7" width="13" customWidth="1"/>
    <col min="8" max="9" width="14" customWidth="1"/>
    <col min="10" max="10" width="28" customWidth="1"/>
  </cols>
  <sheetData>
    <row r="1" spans="1:10" ht="30" customHeight="1" x14ac:dyDescent="0.25">
      <c r="A1" s="90" t="s">
        <v>165</v>
      </c>
      <c r="B1" s="71"/>
      <c r="C1" s="71"/>
      <c r="D1" s="71"/>
      <c r="E1" s="71"/>
      <c r="F1" s="71"/>
      <c r="G1" s="71"/>
      <c r="H1" s="71"/>
      <c r="I1" s="71"/>
      <c r="J1" s="71"/>
    </row>
    <row r="2" spans="1:10" ht="21.95" customHeight="1" x14ac:dyDescent="0.25">
      <c r="A2" s="1" t="s">
        <v>38</v>
      </c>
      <c r="B2" s="1" t="s">
        <v>111</v>
      </c>
      <c r="C2" s="1" t="s">
        <v>166</v>
      </c>
      <c r="D2" s="1" t="s">
        <v>167</v>
      </c>
      <c r="E2" s="1" t="s">
        <v>42</v>
      </c>
      <c r="F2" s="1" t="s">
        <v>168</v>
      </c>
      <c r="G2" s="1" t="s">
        <v>169</v>
      </c>
      <c r="H2" s="1" t="s">
        <v>170</v>
      </c>
      <c r="I2" s="1" t="s">
        <v>47</v>
      </c>
      <c r="J2" s="1" t="s">
        <v>48</v>
      </c>
    </row>
    <row r="3" spans="1:10" x14ac:dyDescent="0.25">
      <c r="A3" s="17" t="s">
        <v>171</v>
      </c>
      <c r="B3" s="67" t="s">
        <v>172</v>
      </c>
      <c r="C3" s="9" t="s">
        <v>173</v>
      </c>
      <c r="D3" s="6" t="s">
        <v>155</v>
      </c>
      <c r="E3" s="61">
        <v>3</v>
      </c>
      <c r="F3" s="20">
        <v>9.9</v>
      </c>
      <c r="G3" s="10">
        <f>E3*F3</f>
        <v>29.700000000000003</v>
      </c>
      <c r="H3" s="18" t="s">
        <v>174</v>
      </c>
      <c r="I3" s="18" t="s">
        <v>175</v>
      </c>
      <c r="J3" s="22"/>
    </row>
    <row r="4" spans="1:10" x14ac:dyDescent="0.25">
      <c r="A4" s="23" t="s">
        <v>176</v>
      </c>
      <c r="B4" s="68" t="s">
        <v>177</v>
      </c>
      <c r="C4" s="3" t="s">
        <v>178</v>
      </c>
      <c r="D4" s="11" t="s">
        <v>159</v>
      </c>
      <c r="E4" s="63">
        <v>2</v>
      </c>
      <c r="F4" s="26">
        <v>9.9</v>
      </c>
      <c r="G4" s="5">
        <f>E4*F4</f>
        <v>19.8</v>
      </c>
      <c r="H4" s="24" t="s">
        <v>179</v>
      </c>
      <c r="I4" s="24" t="s">
        <v>175</v>
      </c>
      <c r="J4" s="28"/>
    </row>
    <row r="5" spans="1:10" x14ac:dyDescent="0.25">
      <c r="A5" s="17" t="s">
        <v>180</v>
      </c>
      <c r="B5" s="67" t="s">
        <v>181</v>
      </c>
      <c r="C5" s="9" t="s">
        <v>182</v>
      </c>
      <c r="D5" s="6" t="s">
        <v>183</v>
      </c>
      <c r="E5" s="61">
        <v>1</v>
      </c>
      <c r="F5" s="20">
        <v>24.9</v>
      </c>
      <c r="G5" s="10">
        <f>E5*F5</f>
        <v>24.9</v>
      </c>
      <c r="H5" s="18" t="s">
        <v>174</v>
      </c>
      <c r="I5" s="18" t="s">
        <v>184</v>
      </c>
      <c r="J5" s="22" t="s">
        <v>185</v>
      </c>
    </row>
    <row r="6" spans="1:10" x14ac:dyDescent="0.25">
      <c r="A6" s="23" t="s">
        <v>186</v>
      </c>
      <c r="B6" s="68" t="s">
        <v>187</v>
      </c>
      <c r="C6" s="3" t="s">
        <v>188</v>
      </c>
      <c r="D6" s="11" t="s">
        <v>162</v>
      </c>
      <c r="E6" s="63">
        <v>2</v>
      </c>
      <c r="F6" s="26">
        <v>14.9</v>
      </c>
      <c r="G6" s="5">
        <f>E6*F6</f>
        <v>29.8</v>
      </c>
      <c r="H6" s="24"/>
      <c r="I6" s="24" t="s">
        <v>189</v>
      </c>
      <c r="J6" s="28" t="s">
        <v>190</v>
      </c>
    </row>
    <row r="7" spans="1:10" x14ac:dyDescent="0.25">
      <c r="A7" s="17" t="s">
        <v>191</v>
      </c>
      <c r="B7" s="67" t="s">
        <v>192</v>
      </c>
      <c r="C7" s="9" t="s">
        <v>193</v>
      </c>
      <c r="D7" s="6" t="s">
        <v>155</v>
      </c>
      <c r="E7" s="61">
        <v>5</v>
      </c>
      <c r="F7" s="20">
        <v>9.9</v>
      </c>
      <c r="G7" s="10">
        <f>E7*F7</f>
        <v>49.5</v>
      </c>
      <c r="H7" s="18" t="s">
        <v>194</v>
      </c>
      <c r="I7" s="18" t="s">
        <v>195</v>
      </c>
      <c r="J7" s="22"/>
    </row>
    <row r="8" spans="1:10" x14ac:dyDescent="0.25">
      <c r="A8" s="87" t="s">
        <v>30</v>
      </c>
      <c r="B8" s="88"/>
      <c r="C8" s="88"/>
      <c r="D8" s="88"/>
      <c r="E8" s="88"/>
      <c r="F8" s="89"/>
      <c r="G8" s="14">
        <f>SUM(G3:G7)</f>
        <v>153.69999999999999</v>
      </c>
      <c r="H8" s="29"/>
      <c r="I8" s="29"/>
      <c r="J8" s="29"/>
    </row>
  </sheetData>
  <mergeCells count="2">
    <mergeCell ref="A8:F8"/>
    <mergeCell ref="A1:J1"/>
  </mergeCells>
  <conditionalFormatting sqref="I3:I1000">
    <cfRule type="cellIs" dxfId="9" priority="1" operator="equal">
      <formula>"Pendente"</formula>
    </cfRule>
    <cfRule type="cellIs" dxfId="8" priority="2" operator="equal">
      <formula>"A Processar"</formula>
    </cfRule>
    <cfRule type="cellIs" dxfId="7" priority="3" operator="equal">
      <formula>"Entregue"</formula>
    </cfRule>
    <cfRule type="cellIs" dxfId="6" priority="4" operator="equal">
      <formula>"Cancelada"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500-000000000000}">
          <x14:formula1>
            <xm:f>Listas!$C$2:$C$6</xm:f>
          </x14:formula1>
          <xm:sqref>I3:I1000</xm:sqref>
        </x14:dataValidation>
        <x14:dataValidation type="list" allowBlank="1" xr:uid="{00000000-0002-0000-0500-000001000000}">
          <x14:formula1>
            <xm:f>Listas!$D$2:$D$6</xm:f>
          </x14:formula1>
          <xm:sqref>H3:H1000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8792A"/>
  </sheetPr>
  <dimension ref="A1:K10"/>
  <sheetViews>
    <sheetView tabSelected="1" workbookViewId="0">
      <pane ySplit="2" topLeftCell="A3" activePane="bottomLeft" state="frozen"/>
      <selection pane="bottomLeft" activeCell="I26" sqref="I26"/>
    </sheetView>
  </sheetViews>
  <sheetFormatPr defaultRowHeight="15" x14ac:dyDescent="0.25"/>
  <cols>
    <col min="1" max="1" width="8" customWidth="1"/>
    <col min="2" max="2" width="14" customWidth="1"/>
    <col min="3" max="3" width="30" customWidth="1"/>
    <col min="4" max="4" width="18" customWidth="1"/>
    <col min="5" max="5" width="13" customWidth="1"/>
    <col min="6" max="6" width="18" customWidth="1"/>
    <col min="7" max="7" width="28" customWidth="1"/>
    <col min="9" max="9" width="18" customWidth="1"/>
    <col min="10" max="10" width="14" customWidth="1"/>
    <col min="11" max="11" width="12" customWidth="1"/>
  </cols>
  <sheetData>
    <row r="1" spans="1:11" ht="30" customHeight="1" x14ac:dyDescent="0.25">
      <c r="A1" s="90" t="s">
        <v>196</v>
      </c>
      <c r="B1" s="71"/>
      <c r="C1" s="71"/>
      <c r="D1" s="71"/>
      <c r="E1" s="71"/>
      <c r="F1" s="71"/>
      <c r="G1" s="71"/>
    </row>
    <row r="2" spans="1:11" ht="21.95" customHeight="1" x14ac:dyDescent="0.25">
      <c r="A2" s="1" t="s">
        <v>38</v>
      </c>
      <c r="B2" s="1" t="s">
        <v>111</v>
      </c>
      <c r="C2" s="1" t="s">
        <v>197</v>
      </c>
      <c r="D2" s="1" t="s">
        <v>14</v>
      </c>
      <c r="E2" s="1" t="s">
        <v>198</v>
      </c>
      <c r="F2" s="1" t="s">
        <v>46</v>
      </c>
      <c r="G2" s="1" t="s">
        <v>48</v>
      </c>
      <c r="I2" s="46" t="s">
        <v>14</v>
      </c>
      <c r="J2" s="46" t="s">
        <v>15</v>
      </c>
      <c r="K2" s="46" t="s">
        <v>16</v>
      </c>
    </row>
    <row r="3" spans="1:11" x14ac:dyDescent="0.25">
      <c r="A3" s="17" t="s">
        <v>199</v>
      </c>
      <c r="B3" s="67" t="s">
        <v>200</v>
      </c>
      <c r="C3" s="9" t="s">
        <v>201</v>
      </c>
      <c r="D3" s="18" t="s">
        <v>18</v>
      </c>
      <c r="E3" s="20">
        <v>90</v>
      </c>
      <c r="F3" s="6" t="s">
        <v>53</v>
      </c>
      <c r="G3" s="22"/>
      <c r="I3" s="6" t="s">
        <v>18</v>
      </c>
      <c r="J3" s="7">
        <f t="shared" ref="J3:J8" si="0">SUMIF(D$3:D$1000,I3,E$3:E$1000)</f>
        <v>231</v>
      </c>
      <c r="K3" s="8">
        <f>IFERROR(J3/J10,0)</f>
        <v>0.38725901089689857</v>
      </c>
    </row>
    <row r="4" spans="1:11" x14ac:dyDescent="0.25">
      <c r="A4" s="23" t="s">
        <v>202</v>
      </c>
      <c r="B4" s="68" t="s">
        <v>200</v>
      </c>
      <c r="C4" s="3" t="s">
        <v>203</v>
      </c>
      <c r="D4" s="24" t="s">
        <v>18</v>
      </c>
      <c r="E4" s="26">
        <v>56</v>
      </c>
      <c r="F4" s="11" t="s">
        <v>53</v>
      </c>
      <c r="G4" s="28"/>
      <c r="I4" s="6" t="s">
        <v>20</v>
      </c>
      <c r="J4" s="7">
        <f t="shared" si="0"/>
        <v>240</v>
      </c>
      <c r="K4" s="8">
        <f>IFERROR(J4/J10,0)</f>
        <v>0.40234702430846603</v>
      </c>
    </row>
    <row r="5" spans="1:11" x14ac:dyDescent="0.25">
      <c r="A5" s="17" t="s">
        <v>204</v>
      </c>
      <c r="B5" s="67" t="s">
        <v>205</v>
      </c>
      <c r="C5" s="9" t="s">
        <v>206</v>
      </c>
      <c r="D5" s="18" t="s">
        <v>20</v>
      </c>
      <c r="E5" s="20">
        <v>240</v>
      </c>
      <c r="F5" s="6" t="s">
        <v>62</v>
      </c>
      <c r="G5" s="22"/>
      <c r="I5" s="6" t="s">
        <v>22</v>
      </c>
      <c r="J5" s="7">
        <f t="shared" si="0"/>
        <v>80</v>
      </c>
      <c r="K5" s="8">
        <f>IFERROR(J5/J10,0)</f>
        <v>0.13411567476948869</v>
      </c>
    </row>
    <row r="6" spans="1:11" x14ac:dyDescent="0.25">
      <c r="A6" s="23" t="s">
        <v>207</v>
      </c>
      <c r="B6" s="68" t="s">
        <v>208</v>
      </c>
      <c r="C6" s="3" t="s">
        <v>209</v>
      </c>
      <c r="D6" s="24" t="s">
        <v>22</v>
      </c>
      <c r="E6" s="26">
        <v>80</v>
      </c>
      <c r="F6" s="11" t="s">
        <v>210</v>
      </c>
      <c r="G6" s="28" t="s">
        <v>211</v>
      </c>
      <c r="I6" s="6" t="s">
        <v>24</v>
      </c>
      <c r="J6" s="7">
        <f t="shared" si="0"/>
        <v>45.5</v>
      </c>
      <c r="K6" s="8">
        <f>IFERROR(J6/J10,0)</f>
        <v>7.6278290025146689E-2</v>
      </c>
    </row>
    <row r="7" spans="1:11" x14ac:dyDescent="0.25">
      <c r="A7" s="17" t="s">
        <v>212</v>
      </c>
      <c r="B7" s="67" t="s">
        <v>213</v>
      </c>
      <c r="C7" s="9" t="s">
        <v>214</v>
      </c>
      <c r="D7" s="18" t="s">
        <v>24</v>
      </c>
      <c r="E7" s="20">
        <v>45.5</v>
      </c>
      <c r="F7" s="6" t="s">
        <v>215</v>
      </c>
      <c r="G7" s="22"/>
      <c r="I7" s="6" t="s">
        <v>26</v>
      </c>
      <c r="J7" s="7">
        <f t="shared" si="0"/>
        <v>0</v>
      </c>
      <c r="K7" s="8">
        <f>IFERROR(J7/J10,0)</f>
        <v>0</v>
      </c>
    </row>
    <row r="8" spans="1:11" x14ac:dyDescent="0.25">
      <c r="A8" s="23" t="s">
        <v>216</v>
      </c>
      <c r="B8" s="68" t="s">
        <v>217</v>
      </c>
      <c r="C8" s="3" t="s">
        <v>218</v>
      </c>
      <c r="D8" s="24" t="s">
        <v>18</v>
      </c>
      <c r="E8" s="26">
        <v>85</v>
      </c>
      <c r="F8" s="11" t="s">
        <v>66</v>
      </c>
      <c r="G8" s="28"/>
      <c r="I8" s="6" t="s">
        <v>28</v>
      </c>
      <c r="J8" s="7">
        <f t="shared" si="0"/>
        <v>0</v>
      </c>
      <c r="K8" s="8">
        <f>IFERROR(J8/J10,0)</f>
        <v>0</v>
      </c>
    </row>
    <row r="9" spans="1:11" x14ac:dyDescent="0.25">
      <c r="A9" s="87" t="s">
        <v>30</v>
      </c>
      <c r="B9" s="88"/>
      <c r="C9" s="88"/>
      <c r="D9" s="89"/>
      <c r="E9" s="14">
        <f>SUM(E3:E8)</f>
        <v>596.5</v>
      </c>
      <c r="F9" s="29"/>
      <c r="G9" s="29"/>
    </row>
    <row r="10" spans="1:11" x14ac:dyDescent="0.25">
      <c r="I10" s="13" t="s">
        <v>30</v>
      </c>
      <c r="J10" s="14">
        <f>SUM(J3:J9)</f>
        <v>596.5</v>
      </c>
      <c r="K10" s="15" t="s">
        <v>31</v>
      </c>
    </row>
  </sheetData>
  <mergeCells count="2">
    <mergeCell ref="A9:D9"/>
    <mergeCell ref="A1:G1"/>
  </mergeCells>
  <conditionalFormatting sqref="D3:D1000">
    <cfRule type="cellIs" dxfId="5" priority="1" operator="equal">
      <formula>"Matérias-Primas"</formula>
    </cfRule>
    <cfRule type="cellIs" dxfId="4" priority="2" operator="equal">
      <formula>"Embalagem"</formula>
    </cfRule>
    <cfRule type="cellIs" dxfId="3" priority="3" operator="equal">
      <formula>"Marketing"</formula>
    </cfRule>
    <cfRule type="cellIs" dxfId="2" priority="4" operator="equal">
      <formula>"Transporte"</formula>
    </cfRule>
    <cfRule type="cellIs" dxfId="1" priority="5" operator="equal">
      <formula>"Equipamento"</formula>
    </cfRule>
    <cfRule type="cellIs" dxfId="0" priority="6" operator="equal">
      <formula>"Outro"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600-000000000000}">
          <x14:formula1>
            <xm:f>Listas!$E$2:$E$7</xm:f>
          </x14:formula1>
          <xm:sqref>D3:D1000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99999"/>
  </sheetPr>
  <dimension ref="A1:E14"/>
  <sheetViews>
    <sheetView workbookViewId="0"/>
  </sheetViews>
  <sheetFormatPr defaultRowHeight="15" x14ac:dyDescent="0.25"/>
  <sheetData>
    <row r="1" spans="1:5" x14ac:dyDescent="0.25">
      <c r="A1" s="69" t="s">
        <v>219</v>
      </c>
      <c r="B1" s="69" t="s">
        <v>220</v>
      </c>
      <c r="C1" s="69" t="s">
        <v>221</v>
      </c>
      <c r="D1" s="69" t="s">
        <v>222</v>
      </c>
      <c r="E1" s="69" t="s">
        <v>223</v>
      </c>
    </row>
    <row r="2" spans="1:5" x14ac:dyDescent="0.25">
      <c r="A2" t="s">
        <v>51</v>
      </c>
      <c r="B2" t="s">
        <v>52</v>
      </c>
      <c r="C2" t="s">
        <v>189</v>
      </c>
      <c r="D2" t="s">
        <v>174</v>
      </c>
      <c r="E2" t="s">
        <v>18</v>
      </c>
    </row>
    <row r="3" spans="1:5" x14ac:dyDescent="0.25">
      <c r="A3" t="s">
        <v>57</v>
      </c>
      <c r="B3" t="s">
        <v>77</v>
      </c>
      <c r="C3" t="s">
        <v>195</v>
      </c>
      <c r="D3" t="s">
        <v>224</v>
      </c>
      <c r="E3" t="s">
        <v>20</v>
      </c>
    </row>
    <row r="4" spans="1:5" x14ac:dyDescent="0.25">
      <c r="A4" t="s">
        <v>65</v>
      </c>
      <c r="B4" t="s">
        <v>225</v>
      </c>
      <c r="C4" t="s">
        <v>184</v>
      </c>
      <c r="D4" t="s">
        <v>179</v>
      </c>
      <c r="E4" t="s">
        <v>22</v>
      </c>
    </row>
    <row r="5" spans="1:5" x14ac:dyDescent="0.25">
      <c r="A5" t="s">
        <v>226</v>
      </c>
      <c r="B5" t="s">
        <v>227</v>
      </c>
      <c r="C5" t="s">
        <v>175</v>
      </c>
      <c r="D5" t="s">
        <v>194</v>
      </c>
      <c r="E5" t="s">
        <v>24</v>
      </c>
    </row>
    <row r="6" spans="1:5" x14ac:dyDescent="0.25">
      <c r="A6" t="s">
        <v>60</v>
      </c>
      <c r="B6" t="s">
        <v>61</v>
      </c>
      <c r="C6" t="s">
        <v>228</v>
      </c>
      <c r="D6" t="s">
        <v>229</v>
      </c>
      <c r="E6" t="s">
        <v>26</v>
      </c>
    </row>
    <row r="7" spans="1:5" x14ac:dyDescent="0.25">
      <c r="A7" t="s">
        <v>20</v>
      </c>
      <c r="B7" t="s">
        <v>230</v>
      </c>
      <c r="E7" t="s">
        <v>28</v>
      </c>
    </row>
    <row r="8" spans="1:5" x14ac:dyDescent="0.25">
      <c r="A8" t="s">
        <v>70</v>
      </c>
      <c r="B8" t="s">
        <v>231</v>
      </c>
    </row>
    <row r="9" spans="1:5" x14ac:dyDescent="0.25">
      <c r="A9" t="s">
        <v>232</v>
      </c>
      <c r="B9" t="s">
        <v>233</v>
      </c>
    </row>
    <row r="10" spans="1:5" x14ac:dyDescent="0.25">
      <c r="A10" t="s">
        <v>234</v>
      </c>
    </row>
    <row r="11" spans="1:5" x14ac:dyDescent="0.25">
      <c r="A11" t="s">
        <v>235</v>
      </c>
    </row>
    <row r="12" spans="1:5" x14ac:dyDescent="0.25">
      <c r="A12" t="s">
        <v>126</v>
      </c>
    </row>
    <row r="13" spans="1:5" x14ac:dyDescent="0.25">
      <c r="A13" t="s">
        <v>236</v>
      </c>
    </row>
    <row r="14" spans="1:5" x14ac:dyDescent="0.25">
      <c r="A14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Inventário</vt:lpstr>
      <vt:lpstr>Calculadora</vt:lpstr>
      <vt:lpstr>Receitas</vt:lpstr>
      <vt:lpstr>Stock</vt:lpstr>
      <vt:lpstr>Vendas</vt:lpstr>
      <vt:lpstr>Gastos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Bento</cp:lastModifiedBy>
  <dcterms:created xsi:type="dcterms:W3CDTF">2026-05-16T16:11:28Z</dcterms:created>
  <dcterms:modified xsi:type="dcterms:W3CDTF">2026-05-16T16:13:37Z</dcterms:modified>
</cp:coreProperties>
</file>